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4.xml" ContentType="application/vnd.openxmlformats-officedocument.spreadsheetml.table+xml"/>
  <Override PartName="/xl/webextensions/webextension1.xml" ContentType="application/vnd.ms-office.webextension+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https://d.docs.live.net/5176dcaa7b8fb98c/EXPENSES/backups/"/>
    </mc:Choice>
  </mc:AlternateContent>
  <xr:revisionPtr revIDLastSave="33" documentId="13_ncr:1_{91812383-9C05-41C8-93CA-F552A85E03F6}" xr6:coauthVersionLast="47" xr6:coauthVersionMax="47" xr10:uidLastSave="{CE6DE1D4-C42F-4751-9912-6939F8F0FEC7}"/>
  <bookViews>
    <workbookView xWindow="-120" yWindow="-120" windowWidth="29040" windowHeight="15720" activeTab="2" xr2:uid="{70D3C8EC-563A-4748-AD3A-2B8DF75FCCE6}"/>
  </bookViews>
  <sheets>
    <sheet name="Settings" sheetId="10" r:id="rId1"/>
    <sheet name="Budget Planning" sheetId="11" r:id="rId2"/>
    <sheet name="Budget Tracking" sheetId="12" r:id="rId3"/>
    <sheet name="Budget Dashboard" sheetId="15" r:id="rId4"/>
    <sheet name="Calculations" sheetId="14" r:id="rId5"/>
    <sheet name="Dropdown Data" sheetId="16" r:id="rId6"/>
  </sheets>
  <definedNames>
    <definedName name="_xleta.DATE" hidden="1" xlm="1">#NAME?</definedName>
    <definedName name="_xleta.IF" hidden="1" xlm="1">#NAME?</definedName>
    <definedName name="_xleta.MONTH" hidden="1" xlm="1">#NAME?</definedName>
    <definedName name="_xleta.ROW" hidden="1" xlm="1">#NAME?</definedName>
    <definedName name="_xleta.TODAY" hidden="1" xlm="1">#NAME?</definedName>
    <definedName name="_xleta.TYPE" hidden="1" xlm="1">#NAME?</definedName>
    <definedName name="Budget" localSheetId="3">'Budget Dashboard'!$N1</definedName>
    <definedName name="Budget_Range" localSheetId="3">'Budget Dashboard'!$W1</definedName>
    <definedName name="Budget_Rank" localSheetId="3">'Budget Dashboard'!$X1</definedName>
    <definedName name="CC_Budget" localSheetId="4">Calculations!$K1</definedName>
    <definedName name="CC_Delta" localSheetId="4">Calculations!$L1</definedName>
    <definedName name="CC_In_Focus" localSheetId="4">Calculations!$G1</definedName>
    <definedName name="CC_Month_Number" localSheetId="4">Calculations!$F1</definedName>
    <definedName name="CC_Show_Remaining_Budget" localSheetId="4">Calculations!$I1</definedName>
    <definedName name="CC_Show_Type" localSheetId="4">Calculations!$H1</definedName>
    <definedName name="CC_Tracked_USD" localSheetId="4">Calculations!$J1</definedName>
    <definedName name="CC_Type" localSheetId="4">Calculations!$E1</definedName>
    <definedName name="Comb_Rank" localSheetId="3">'Budget Dashboard'!$Y1</definedName>
    <definedName name="Comb_Rank_Norm" localSheetId="3">'Budget Dashboard'!$AA1</definedName>
    <definedName name="Comb_Rank_Norm_Run_Range" localSheetId="3">'Budget Dashboard'!$AB1</definedName>
    <definedName name="Comb_Rank_Range" localSheetId="3">'Budget Dashboard'!$Z1</definedName>
    <definedName name="Comb_Rank_Unique" localSheetId="3">'Budget Dashboard'!$AC1</definedName>
    <definedName name="Current_Date">TODAY()</definedName>
    <definedName name="Expenses_Header_Row">ROW(Expenses[[#Headers],[Expenses]])</definedName>
    <definedName name="Expenses_Max_Row">MAX(ROW(Expenses[]))</definedName>
    <definedName name="Expenses_Min_Row">MIN(ROW(Expenses[]))</definedName>
    <definedName name="Expenses_Total_Row">ROW('Budget Planning'!$C$68)</definedName>
    <definedName name="Header_Row_ID" localSheetId="3">'Budget Dashboard'!$D1</definedName>
    <definedName name="Income_Header_Row">ROW(Income[[#Headers],[Income]])</definedName>
    <definedName name="Income_Max_Row">MAX(ROW(Income[]))</definedName>
    <definedName name="Income_Min_Row">MIN(ROW(Income[]))</definedName>
    <definedName name="Income_Total_Row">ROW('Budget Planning'!$C$20)</definedName>
    <definedName name="IS_Cat" localSheetId="3">'Budget Dashboard'!$F1</definedName>
    <definedName name="IS_Empty" localSheetId="3">'Budget Dashboard'!$H1</definedName>
    <definedName name="IS_Header" localSheetId="3">'Budget Dashboard'!$E1</definedName>
    <definedName name="IS_Total" localSheetId="3">'Budget Dashboard'!$G1</definedName>
    <definedName name="Item" localSheetId="3">'Budget Dashboard'!$J1</definedName>
    <definedName name="Out_Budget" localSheetId="3">'Budget Dashboard'!$AI1</definedName>
    <definedName name="Out_Percentage_Completed" localSheetId="3">'Budget Dashboard'!$AJ1</definedName>
    <definedName name="Out_Tracked_€" localSheetId="3">'Budget Dashboard'!$AH1</definedName>
    <definedName name="Out_Tracked_LBP" localSheetId="3">'Budget Dashboard'!$AG1</definedName>
    <definedName name="Out_Tracked_USD" localSheetId="3">'Budget Dashboard'!$AF1</definedName>
    <definedName name="Payment_Type">Settings!$E$27</definedName>
    <definedName name="_xlnm.Print_Area" localSheetId="1">'Budget Planning'!$A$1:$CI$81</definedName>
    <definedName name="Row_ID" localSheetId="3">'Budget Dashboard'!$C1</definedName>
    <definedName name="Savings_Header_Row">ROW(Savings[[#Headers],[Savings]])</definedName>
    <definedName name="Savings_Max_Row">MAX(ROW(Savings[]))</definedName>
    <definedName name="Savings_Min_Row">MIN(ROW(Savings[]))</definedName>
    <definedName name="Savings_Rate_Calculation_Type">Settings!$E$22</definedName>
    <definedName name="Savings_Total_Row">ROW('Budget Planning'!$C$81)</definedName>
    <definedName name="Selected_Period">Calculations!$E$24</definedName>
    <definedName name="Selected_Period_Display">Calculations!$E$25</definedName>
    <definedName name="Selected_Year">Calculations!$E$23</definedName>
    <definedName name="Shift_Late_Income_Starting_Day">Settings!$E$18</definedName>
    <definedName name="Shift_Late_Income_Status">Settings!$E$16</definedName>
    <definedName name="Sort_Max_Row" localSheetId="3">'Budget Dashboard'!$P1</definedName>
    <definedName name="Sort_Min_Row" localSheetId="3">'Budget Dashboard'!$O1</definedName>
    <definedName name="Starting_Year">Settings!$E$8</definedName>
    <definedName name="Tracked_€" localSheetId="3">'Budget Dashboard'!$M1</definedName>
    <definedName name="Tracked_€_Range" localSheetId="3">'Budget Dashboard'!$U1</definedName>
    <definedName name="Tracked_€_Rank" localSheetId="3">'Budget Dashboard'!$V1</definedName>
    <definedName name="Tracked_LBP" localSheetId="3">'Budget Dashboard'!$L1</definedName>
    <definedName name="Tracked_LBP_Range" localSheetId="3">'Budget Dashboard'!$S1</definedName>
    <definedName name="Tracked_LBP_Rank">'Budget Dashboard'!$T1</definedName>
    <definedName name="Tracked_USD" localSheetId="3">'Budget Dashboard'!$K1</definedName>
    <definedName name="Tracked_USD_Range" localSheetId="3">'Budget Dashboard'!$Q1</definedName>
    <definedName name="Tracked_USD_Rank" localSheetId="3">'Budget Dashboard'!$R1</definedName>
    <definedName name="Type" localSheetId="3">'Budget Dashboard'!$I1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33" i="12" l="1" a="1"/>
  <c r="N133" i="12" s="1"/>
  <c r="O133" i="12" a="1"/>
  <c r="O133" i="12" s="1"/>
  <c r="N132" i="12" a="1"/>
  <c r="N132" i="12" s="1"/>
  <c r="O132" i="12" a="1"/>
  <c r="O132" i="12" s="1"/>
  <c r="N131" i="12" a="1"/>
  <c r="N131" i="12" s="1"/>
  <c r="O131" i="12" a="1"/>
  <c r="O131" i="12" s="1"/>
  <c r="N130" i="12" a="1"/>
  <c r="N130" i="12" s="1"/>
  <c r="O130" i="12" a="1"/>
  <c r="O130" i="12" s="1"/>
  <c r="N129" i="12" a="1"/>
  <c r="N129" i="12" s="1"/>
  <c r="O129" i="12" a="1"/>
  <c r="O129" i="12" s="1"/>
  <c r="N128" i="12" a="1"/>
  <c r="N128" i="12" s="1"/>
  <c r="O128" i="12" a="1"/>
  <c r="O128" i="12" s="1"/>
  <c r="N127" i="12" a="1"/>
  <c r="N127" i="12" s="1"/>
  <c r="O127" i="12" a="1"/>
  <c r="O127" i="12" s="1"/>
  <c r="N126" i="12" a="1"/>
  <c r="N126" i="12" s="1"/>
  <c r="O126" i="12" a="1"/>
  <c r="O126" i="12" s="1"/>
  <c r="N125" i="12" a="1"/>
  <c r="N125" i="12" s="1"/>
  <c r="O125" i="12" a="1"/>
  <c r="O125" i="12" s="1"/>
  <c r="N124" i="12" a="1"/>
  <c r="N124" i="12" s="1"/>
  <c r="O124" i="12" a="1"/>
  <c r="O124" i="12" s="1"/>
  <c r="N123" i="12" a="1"/>
  <c r="N123" i="12" s="1"/>
  <c r="O123" i="12" a="1"/>
  <c r="O123" i="12" s="1"/>
  <c r="N122" i="12" a="1"/>
  <c r="N122" i="12" s="1"/>
  <c r="O122" i="12" a="1"/>
  <c r="O122" i="12" s="1"/>
  <c r="N121" i="12" a="1"/>
  <c r="N121" i="12" s="1"/>
  <c r="O121" i="12" a="1"/>
  <c r="O121" i="12" s="1"/>
  <c r="N120" i="12" a="1"/>
  <c r="N120" i="12" s="1"/>
  <c r="O120" i="12" a="1"/>
  <c r="O120" i="12" s="1"/>
  <c r="N119" i="12" a="1"/>
  <c r="N119" i="12" s="1"/>
  <c r="O119" i="12" a="1"/>
  <c r="O119" i="12" s="1"/>
  <c r="N118" i="12" a="1"/>
  <c r="N118" i="12" s="1"/>
  <c r="O118" i="12" a="1"/>
  <c r="O118" i="12" s="1"/>
  <c r="N117" i="12" a="1"/>
  <c r="N117" i="12" s="1"/>
  <c r="O117" i="12" a="1"/>
  <c r="O117" i="12" s="1"/>
  <c r="N116" i="12" a="1"/>
  <c r="N116" i="12" s="1"/>
  <c r="O116" i="12" a="1"/>
  <c r="O116" i="12" s="1"/>
  <c r="N115" i="12" a="1"/>
  <c r="N115" i="12" s="1"/>
  <c r="O115" i="12" a="1"/>
  <c r="O115" i="12" s="1"/>
  <c r="N114" i="12" a="1"/>
  <c r="N114" i="12" s="1"/>
  <c r="O114" i="12" a="1"/>
  <c r="O114" i="12" s="1"/>
  <c r="N113" i="12" a="1"/>
  <c r="N113" i="12" s="1"/>
  <c r="O113" i="12" a="1"/>
  <c r="O113" i="12" s="1"/>
  <c r="N112" i="12" a="1"/>
  <c r="N112" i="12" s="1"/>
  <c r="O112" i="12" a="1"/>
  <c r="O112" i="12" s="1"/>
  <c r="N111" i="12" a="1"/>
  <c r="N111" i="12" s="1"/>
  <c r="O111" i="12" a="1"/>
  <c r="O111" i="12" s="1"/>
  <c r="N110" i="12" a="1"/>
  <c r="N110" i="12" s="1"/>
  <c r="O110" i="12" a="1"/>
  <c r="O110" i="12" s="1"/>
  <c r="N109" i="12" a="1"/>
  <c r="N109" i="12" s="1"/>
  <c r="O109" i="12" a="1"/>
  <c r="O109" i="12" s="1"/>
  <c r="N108" i="12" a="1"/>
  <c r="N108" i="12" s="1"/>
  <c r="O108" i="12" a="1"/>
  <c r="O108" i="12" s="1"/>
  <c r="N107" i="12" a="1"/>
  <c r="N107" i="12" s="1"/>
  <c r="O107" i="12" a="1"/>
  <c r="O107" i="12" s="1"/>
  <c r="N106" i="12" a="1"/>
  <c r="N106" i="12" s="1"/>
  <c r="O106" i="12" a="1"/>
  <c r="O106" i="12" s="1"/>
  <c r="N105" i="12" a="1"/>
  <c r="N105" i="12" s="1"/>
  <c r="O105" i="12" a="1"/>
  <c r="O105" i="12" s="1"/>
  <c r="N104" i="12" a="1"/>
  <c r="N104" i="12" s="1"/>
  <c r="O104" i="12" a="1"/>
  <c r="O104" i="12" s="1"/>
  <c r="N103" i="12" a="1"/>
  <c r="N103" i="12" s="1"/>
  <c r="O103" i="12" a="1"/>
  <c r="O103" i="12" s="1"/>
  <c r="N102" i="12" a="1"/>
  <c r="N102" i="12" s="1"/>
  <c r="O102" i="12" a="1"/>
  <c r="O102" i="12" s="1"/>
  <c r="N101" i="12" a="1"/>
  <c r="N101" i="12" s="1"/>
  <c r="O101" i="12" a="1"/>
  <c r="O101" i="12" s="1"/>
  <c r="N100" i="12" a="1"/>
  <c r="N100" i="12" s="1"/>
  <c r="O100" i="12" a="1"/>
  <c r="O100" i="12" s="1"/>
  <c r="N99" i="12" a="1"/>
  <c r="N99" i="12" s="1"/>
  <c r="O99" i="12" a="1"/>
  <c r="O99" i="12" s="1"/>
  <c r="N98" i="12" a="1"/>
  <c r="N98" i="12" s="1"/>
  <c r="O98" i="12" a="1"/>
  <c r="O98" i="12" s="1"/>
  <c r="N97" i="12" a="1"/>
  <c r="N97" i="12" s="1"/>
  <c r="O97" i="12" a="1"/>
  <c r="O97" i="12" s="1"/>
  <c r="N96" i="12" a="1"/>
  <c r="N96" i="12" s="1"/>
  <c r="O96" i="12" a="1"/>
  <c r="O96" i="12" s="1"/>
  <c r="N95" i="12" a="1"/>
  <c r="N95" i="12" s="1"/>
  <c r="O95" i="12" a="1"/>
  <c r="O95" i="12" s="1"/>
  <c r="N94" i="12" a="1"/>
  <c r="N94" i="12" s="1"/>
  <c r="O94" i="12" a="1"/>
  <c r="O94" i="12" s="1"/>
  <c r="N93" i="12" a="1"/>
  <c r="N93" i="12" s="1"/>
  <c r="O93" i="12" a="1"/>
  <c r="O93" i="12" s="1"/>
  <c r="N92" i="12" a="1"/>
  <c r="N92" i="12" s="1"/>
  <c r="O92" i="12" a="1"/>
  <c r="O92" i="12" s="1"/>
  <c r="N91" i="12" a="1"/>
  <c r="N91" i="12" s="1"/>
  <c r="O91" i="12" a="1"/>
  <c r="O91" i="12" s="1"/>
  <c r="N90" i="12" a="1"/>
  <c r="N90" i="12" s="1"/>
  <c r="O90" i="12" a="1"/>
  <c r="O90" i="12" s="1"/>
  <c r="N89" i="12" a="1"/>
  <c r="N89" i="12" s="1"/>
  <c r="O89" i="12" a="1"/>
  <c r="O89" i="12" s="1"/>
  <c r="N88" i="12" a="1"/>
  <c r="N88" i="12" s="1"/>
  <c r="O88" i="12" a="1"/>
  <c r="O88" i="12" s="1"/>
  <c r="N87" i="12" a="1"/>
  <c r="N87" i="12" s="1"/>
  <c r="O87" i="12" a="1"/>
  <c r="O87" i="12" s="1"/>
  <c r="N86" i="12" a="1"/>
  <c r="N86" i="12" s="1"/>
  <c r="O86" i="12" a="1"/>
  <c r="O86" i="12" s="1"/>
  <c r="N85" i="12" a="1"/>
  <c r="N85" i="12" s="1"/>
  <c r="O85" i="12" a="1"/>
  <c r="O85" i="12" s="1"/>
  <c r="N84" i="12" a="1"/>
  <c r="N84" i="12" s="1"/>
  <c r="O84" i="12" a="1"/>
  <c r="O84" i="12" s="1"/>
  <c r="N83" i="12" a="1"/>
  <c r="N83" i="12" s="1"/>
  <c r="O83" i="12" a="1"/>
  <c r="O83" i="12" s="1"/>
  <c r="H78" i="12"/>
  <c r="N82" i="12" a="1"/>
  <c r="N82" i="12" s="1"/>
  <c r="O82" i="12" a="1"/>
  <c r="O82" i="12" s="1"/>
  <c r="N81" i="12" a="1"/>
  <c r="N81" i="12" s="1"/>
  <c r="O81" i="12" a="1"/>
  <c r="O81" i="12" s="1"/>
  <c r="N80" i="12" a="1"/>
  <c r="N80" i="12" s="1"/>
  <c r="O80" i="12" a="1"/>
  <c r="O80" i="12" s="1"/>
  <c r="N79" i="12" a="1"/>
  <c r="N79" i="12" s="1"/>
  <c r="O79" i="12" a="1"/>
  <c r="O79" i="12" s="1"/>
  <c r="H76" i="12"/>
  <c r="N73" i="12" a="1"/>
  <c r="N73" i="12" s="1"/>
  <c r="N74" i="12" a="1"/>
  <c r="N74" i="12" s="1"/>
  <c r="N75" i="12" a="1"/>
  <c r="N75" i="12" s="1"/>
  <c r="N76" i="12" a="1"/>
  <c r="N76" i="12" s="1"/>
  <c r="N77" i="12" a="1"/>
  <c r="N77" i="12" s="1"/>
  <c r="N78" i="12" a="1"/>
  <c r="N78" i="12" s="1"/>
  <c r="O73" i="12" a="1"/>
  <c r="O73" i="12" s="1"/>
  <c r="O74" i="12" a="1"/>
  <c r="O74" i="12" s="1"/>
  <c r="O75" i="12" a="1"/>
  <c r="O75" i="12" s="1"/>
  <c r="O76" i="12" a="1"/>
  <c r="O76" i="12" s="1"/>
  <c r="O77" i="12" a="1"/>
  <c r="O77" i="12" s="1"/>
  <c r="O78" i="12" a="1"/>
  <c r="O78" i="12" s="1"/>
  <c r="N71" i="12" a="1"/>
  <c r="N71" i="12" s="1"/>
  <c r="N72" i="12" a="1"/>
  <c r="N72" i="12" s="1"/>
  <c r="O71" i="12" a="1"/>
  <c r="O71" i="12" s="1"/>
  <c r="O72" i="12" a="1"/>
  <c r="O72" i="12" s="1"/>
  <c r="N64" i="12" a="1"/>
  <c r="N64" i="12" s="1"/>
  <c r="N65" i="12" a="1"/>
  <c r="N65" i="12" s="1"/>
  <c r="N66" i="12" a="1"/>
  <c r="N66" i="12" s="1"/>
  <c r="N67" i="12" a="1"/>
  <c r="N67" i="12" s="1"/>
  <c r="N68" i="12" a="1"/>
  <c r="N68" i="12" s="1"/>
  <c r="N69" i="12" a="1"/>
  <c r="N69" i="12" s="1"/>
  <c r="N70" i="12" a="1"/>
  <c r="N70" i="12" s="1"/>
  <c r="O64" i="12" a="1"/>
  <c r="O64" i="12" s="1"/>
  <c r="O65" i="12" a="1"/>
  <c r="O65" i="12" s="1"/>
  <c r="O66" i="12" a="1"/>
  <c r="O66" i="12" s="1"/>
  <c r="O67" i="12" a="1"/>
  <c r="O67" i="12" s="1"/>
  <c r="O68" i="12" a="1"/>
  <c r="O68" i="12" s="1"/>
  <c r="O69" i="12" a="1"/>
  <c r="O69" i="12" s="1"/>
  <c r="O70" i="12" a="1"/>
  <c r="O70" i="12" s="1"/>
  <c r="N57" i="12" a="1"/>
  <c r="N57" i="12" s="1"/>
  <c r="N58" i="12" a="1"/>
  <c r="N58" i="12" s="1"/>
  <c r="N59" i="12" a="1"/>
  <c r="N59" i="12" s="1"/>
  <c r="N60" i="12" a="1"/>
  <c r="N60" i="12" s="1"/>
  <c r="N61" i="12" a="1"/>
  <c r="N61" i="12" s="1"/>
  <c r="N62" i="12" a="1"/>
  <c r="N62" i="12" s="1"/>
  <c r="N63" i="12" a="1"/>
  <c r="N63" i="12" s="1"/>
  <c r="O57" i="12" a="1"/>
  <c r="O57" i="12" s="1"/>
  <c r="O58" i="12" a="1"/>
  <c r="O58" i="12" s="1"/>
  <c r="O59" i="12" a="1"/>
  <c r="O59" i="12" s="1"/>
  <c r="O60" i="12" a="1"/>
  <c r="O60" i="12" s="1"/>
  <c r="O61" i="12" a="1"/>
  <c r="O61" i="12" s="1"/>
  <c r="O62" i="12" a="1"/>
  <c r="O62" i="12" s="1"/>
  <c r="O63" i="12" a="1"/>
  <c r="O63" i="12" s="1"/>
  <c r="I46" i="12"/>
  <c r="M25" i="12" s="1" a="1"/>
  <c r="M25" i="12" s="1"/>
  <c r="H46" i="12"/>
  <c r="N46" i="12" a="1"/>
  <c r="N46" i="12" s="1"/>
  <c r="N47" i="12" a="1"/>
  <c r="N47" i="12" s="1"/>
  <c r="N48" i="12" a="1"/>
  <c r="N48" i="12" s="1"/>
  <c r="N49" i="12" a="1"/>
  <c r="N49" i="12" s="1"/>
  <c r="N50" i="12" a="1"/>
  <c r="N50" i="12" s="1"/>
  <c r="N51" i="12" a="1"/>
  <c r="N51" i="12" s="1"/>
  <c r="N52" i="12" a="1"/>
  <c r="N52" i="12" s="1"/>
  <c r="N53" i="12" a="1"/>
  <c r="N53" i="12" s="1"/>
  <c r="N54" i="12" a="1"/>
  <c r="N54" i="12" s="1"/>
  <c r="N55" i="12" a="1"/>
  <c r="N55" i="12" s="1"/>
  <c r="N56" i="12" a="1"/>
  <c r="N56" i="12" s="1"/>
  <c r="O46" i="12" a="1"/>
  <c r="O46" i="12" s="1"/>
  <c r="O47" i="12" a="1"/>
  <c r="O47" i="12" s="1"/>
  <c r="O48" i="12" a="1"/>
  <c r="O48" i="12" s="1"/>
  <c r="O49" i="12" a="1"/>
  <c r="O49" i="12" s="1"/>
  <c r="O50" i="12" a="1"/>
  <c r="O50" i="12" s="1"/>
  <c r="O51" i="12" a="1"/>
  <c r="O51" i="12" s="1"/>
  <c r="O52" i="12" a="1"/>
  <c r="O52" i="12" s="1"/>
  <c r="O53" i="12" a="1"/>
  <c r="O53" i="12" s="1"/>
  <c r="O54" i="12" a="1"/>
  <c r="O54" i="12" s="1"/>
  <c r="O55" i="12" a="1"/>
  <c r="O55" i="12" s="1"/>
  <c r="O56" i="12" a="1"/>
  <c r="O56" i="12" s="1"/>
  <c r="N45" i="12" a="1"/>
  <c r="N45" i="12" s="1"/>
  <c r="O45" i="12" a="1"/>
  <c r="O45" i="12" s="1"/>
  <c r="BG48" i="11"/>
  <c r="E23" i="14" a="1"/>
  <c r="E23" i="14" s="1"/>
  <c r="D59" i="14" s="1"/>
  <c r="F59" i="14" s="1"/>
  <c r="I63" i="14"/>
  <c r="I64" i="14"/>
  <c r="I65" i="14"/>
  <c r="I67" i="14"/>
  <c r="I68" i="14"/>
  <c r="I69" i="14"/>
  <c r="I71" i="14"/>
  <c r="I72" i="14"/>
  <c r="I73" i="14"/>
  <c r="I75" i="14"/>
  <c r="I76" i="14"/>
  <c r="I77" i="14"/>
  <c r="I79" i="14"/>
  <c r="I80" i="14"/>
  <c r="I81" i="14"/>
  <c r="I83" i="14"/>
  <c r="I84" i="14"/>
  <c r="I85" i="14"/>
  <c r="I87" i="14"/>
  <c r="I88" i="14"/>
  <c r="I89" i="14"/>
  <c r="I91" i="14"/>
  <c r="I92" i="14"/>
  <c r="I93" i="14"/>
  <c r="I95" i="14"/>
  <c r="I96" i="14"/>
  <c r="I97" i="14"/>
  <c r="I99" i="14"/>
  <c r="I100" i="14"/>
  <c r="I101" i="14"/>
  <c r="I103" i="14"/>
  <c r="I104" i="14"/>
  <c r="I105" i="14"/>
  <c r="I60" i="14"/>
  <c r="I61" i="14"/>
  <c r="I59" i="14"/>
  <c r="H63" i="14"/>
  <c r="H64" i="14"/>
  <c r="H65" i="14"/>
  <c r="H67" i="14"/>
  <c r="H68" i="14"/>
  <c r="H69" i="14"/>
  <c r="H71" i="14"/>
  <c r="H72" i="14"/>
  <c r="H73" i="14"/>
  <c r="H75" i="14"/>
  <c r="H76" i="14"/>
  <c r="H77" i="14"/>
  <c r="H79" i="14"/>
  <c r="H80" i="14"/>
  <c r="H81" i="14"/>
  <c r="H83" i="14"/>
  <c r="H84" i="14"/>
  <c r="H85" i="14"/>
  <c r="H87" i="14"/>
  <c r="H88" i="14"/>
  <c r="H89" i="14"/>
  <c r="H91" i="14"/>
  <c r="H92" i="14"/>
  <c r="H93" i="14"/>
  <c r="H95" i="14"/>
  <c r="H96" i="14"/>
  <c r="H97" i="14"/>
  <c r="H99" i="14"/>
  <c r="H100" i="14"/>
  <c r="H101" i="14"/>
  <c r="H103" i="14"/>
  <c r="H104" i="14"/>
  <c r="H105" i="14"/>
  <c r="H61" i="14"/>
  <c r="H60" i="14"/>
  <c r="H59" i="14"/>
  <c r="AX35" i="15"/>
  <c r="N44" i="12" a="1"/>
  <c r="N44" i="12" s="1"/>
  <c r="O44" i="12" a="1"/>
  <c r="O44" i="12" s="1"/>
  <c r="N43" i="12" a="1"/>
  <c r="N43" i="12" s="1"/>
  <c r="O43" i="12" a="1"/>
  <c r="O43" i="12" s="1"/>
  <c r="N42" i="12" a="1"/>
  <c r="N42" i="12" s="1"/>
  <c r="O42" i="12" a="1"/>
  <c r="O42" i="12" s="1"/>
  <c r="N41" i="12" a="1"/>
  <c r="N41" i="12" s="1"/>
  <c r="O41" i="12" a="1"/>
  <c r="O41" i="12" s="1"/>
  <c r="N40" i="12" a="1"/>
  <c r="N40" i="12" s="1"/>
  <c r="O40" i="12" a="1"/>
  <c r="O40" i="12" s="1"/>
  <c r="N39" i="12" a="1"/>
  <c r="N39" i="12" s="1"/>
  <c r="O39" i="12" a="1"/>
  <c r="O39" i="12" s="1"/>
  <c r="N38" i="12" a="1"/>
  <c r="N38" i="12" s="1"/>
  <c r="O38" i="12" a="1"/>
  <c r="O38" i="12" s="1"/>
  <c r="N37" i="12" a="1"/>
  <c r="N37" i="12" s="1"/>
  <c r="O37" i="12" a="1"/>
  <c r="O37" i="12" s="1"/>
  <c r="N36" i="12" a="1"/>
  <c r="N36" i="12" s="1"/>
  <c r="O36" i="12" a="1"/>
  <c r="O36" i="12" s="1"/>
  <c r="N35" i="12" a="1"/>
  <c r="N35" i="12" s="1"/>
  <c r="O35" i="12" a="1"/>
  <c r="O35" i="12" s="1"/>
  <c r="N34" i="12" a="1"/>
  <c r="N34" i="12" s="1"/>
  <c r="O34" i="12" a="1"/>
  <c r="O34" i="12" s="1"/>
  <c r="H14" i="12"/>
  <c r="N14" i="12" a="1"/>
  <c r="N14" i="12" s="1"/>
  <c r="N15" i="12" a="1"/>
  <c r="N15" i="12" s="1"/>
  <c r="N16" i="12" a="1"/>
  <c r="N16" i="12" s="1"/>
  <c r="N17" i="12" a="1"/>
  <c r="N17" i="12" s="1"/>
  <c r="N18" i="12" a="1"/>
  <c r="N18" i="12" s="1"/>
  <c r="N19" i="12" a="1"/>
  <c r="N19" i="12" s="1"/>
  <c r="N20" i="12" a="1"/>
  <c r="N20" i="12" s="1"/>
  <c r="N21" i="12" a="1"/>
  <c r="N21" i="12" s="1"/>
  <c r="N22" i="12" a="1"/>
  <c r="N22" i="12" s="1"/>
  <c r="N23" i="12" a="1"/>
  <c r="N23" i="12" s="1"/>
  <c r="N24" i="12" a="1"/>
  <c r="N24" i="12" s="1"/>
  <c r="N25" i="12" a="1"/>
  <c r="N25" i="12" s="1"/>
  <c r="N26" i="12" a="1"/>
  <c r="N26" i="12" s="1"/>
  <c r="N27" i="12" a="1"/>
  <c r="N27" i="12" s="1"/>
  <c r="N28" i="12" a="1"/>
  <c r="N28" i="12" s="1"/>
  <c r="N29" i="12" a="1"/>
  <c r="N29" i="12" s="1"/>
  <c r="N30" i="12" a="1"/>
  <c r="N30" i="12" s="1"/>
  <c r="N31" i="12" a="1"/>
  <c r="N31" i="12" s="1"/>
  <c r="N32" i="12" a="1"/>
  <c r="N32" i="12" s="1"/>
  <c r="N33" i="12" a="1"/>
  <c r="N33" i="12" s="1"/>
  <c r="O14" i="12" a="1"/>
  <c r="O14" i="12" s="1"/>
  <c r="O15" i="12" a="1"/>
  <c r="O15" i="12" s="1"/>
  <c r="O16" i="12" a="1"/>
  <c r="O16" i="12" s="1"/>
  <c r="O17" i="12" a="1"/>
  <c r="O17" i="12" s="1"/>
  <c r="O18" i="12" a="1"/>
  <c r="O18" i="12" s="1"/>
  <c r="O19" i="12" a="1"/>
  <c r="O19" i="12" s="1"/>
  <c r="O20" i="12" a="1"/>
  <c r="O20" i="12" s="1"/>
  <c r="O21" i="12" a="1"/>
  <c r="O21" i="12" s="1"/>
  <c r="O22" i="12" a="1"/>
  <c r="O22" i="12" s="1"/>
  <c r="O23" i="12" a="1"/>
  <c r="O23" i="12" s="1"/>
  <c r="O24" i="12" a="1"/>
  <c r="O24" i="12" s="1"/>
  <c r="O25" i="12" a="1"/>
  <c r="O25" i="12" s="1"/>
  <c r="O26" i="12" a="1"/>
  <c r="O26" i="12" s="1"/>
  <c r="O27" i="12" a="1"/>
  <c r="O27" i="12" s="1"/>
  <c r="O28" i="12" a="1"/>
  <c r="O28" i="12" s="1"/>
  <c r="O29" i="12" a="1"/>
  <c r="O29" i="12" s="1"/>
  <c r="O30" i="12" a="1"/>
  <c r="O30" i="12" s="1"/>
  <c r="O31" i="12" a="1"/>
  <c r="O31" i="12" s="1"/>
  <c r="O32" i="12" a="1"/>
  <c r="O32" i="12" s="1"/>
  <c r="O33" i="12" a="1"/>
  <c r="O33" i="12" s="1"/>
  <c r="N13" i="12" a="1"/>
  <c r="N13" i="12" s="1"/>
  <c r="O13" i="12" a="1"/>
  <c r="O13" i="12" s="1"/>
  <c r="N12" i="12" a="1"/>
  <c r="N12" i="12" s="1"/>
  <c r="L132" i="12" l="1" a="1"/>
  <c r="L132" i="12" s="1"/>
  <c r="M133" i="12" a="1"/>
  <c r="M133" i="12" s="1"/>
  <c r="L133" i="12" a="1"/>
  <c r="L133" i="12" s="1"/>
  <c r="M132" i="12" a="1"/>
  <c r="M132" i="12" s="1"/>
  <c r="M131" i="12" a="1"/>
  <c r="M131" i="12" s="1"/>
  <c r="L129" i="12" a="1"/>
  <c r="L129" i="12" s="1"/>
  <c r="L131" i="12" a="1"/>
  <c r="L131" i="12" s="1"/>
  <c r="M130" i="12" a="1"/>
  <c r="M130" i="12" s="1"/>
  <c r="L130" i="12" a="1"/>
  <c r="L130" i="12" s="1"/>
  <c r="M129" i="12" a="1"/>
  <c r="M129" i="12" s="1"/>
  <c r="L127" i="12" a="1"/>
  <c r="L127" i="12" s="1"/>
  <c r="M128" i="12" a="1"/>
  <c r="M128" i="12" s="1"/>
  <c r="L128" i="12" a="1"/>
  <c r="L128" i="12" s="1"/>
  <c r="M127" i="12" a="1"/>
  <c r="M127" i="12" s="1"/>
  <c r="L124" i="12" a="1"/>
  <c r="L124" i="12" s="1"/>
  <c r="M126" i="12" a="1"/>
  <c r="M126" i="12" s="1"/>
  <c r="L126" i="12" a="1"/>
  <c r="L126" i="12" s="1"/>
  <c r="M125" i="12" a="1"/>
  <c r="M125" i="12" s="1"/>
  <c r="L125" i="12" a="1"/>
  <c r="L125" i="12" s="1"/>
  <c r="M124" i="12" a="1"/>
  <c r="M124" i="12" s="1"/>
  <c r="L122" i="12" a="1"/>
  <c r="L122" i="12" s="1"/>
  <c r="M123" i="12" a="1"/>
  <c r="M123" i="12" s="1"/>
  <c r="L123" i="12" a="1"/>
  <c r="L123" i="12" s="1"/>
  <c r="M122" i="12" a="1"/>
  <c r="M122" i="12" s="1"/>
  <c r="M121" i="12" a="1"/>
  <c r="M121" i="12" s="1"/>
  <c r="L120" i="12" a="1"/>
  <c r="L120" i="12" s="1"/>
  <c r="L121" i="12" a="1"/>
  <c r="L121" i="12" s="1"/>
  <c r="L119" i="12" a="1"/>
  <c r="L119" i="12" s="1"/>
  <c r="M120" i="12" a="1"/>
  <c r="M120" i="12" s="1"/>
  <c r="M119" i="12" a="1"/>
  <c r="M119" i="12" s="1"/>
  <c r="M117" i="12" a="1"/>
  <c r="M117" i="12" s="1"/>
  <c r="L117" i="12" a="1"/>
  <c r="L117" i="12" s="1"/>
  <c r="M118" i="12" a="1"/>
  <c r="M118" i="12" s="1"/>
  <c r="L118" i="12" a="1"/>
  <c r="L118" i="12" s="1"/>
  <c r="L115" i="12" a="1"/>
  <c r="L115" i="12" s="1"/>
  <c r="M116" i="12" a="1"/>
  <c r="M116" i="12" s="1"/>
  <c r="L116" i="12" a="1"/>
  <c r="L116" i="12" s="1"/>
  <c r="M115" i="12" a="1"/>
  <c r="M115" i="12" s="1"/>
  <c r="L113" i="12" a="1"/>
  <c r="L113" i="12" s="1"/>
  <c r="M114" i="12" a="1"/>
  <c r="M114" i="12" s="1"/>
  <c r="L114" i="12" a="1"/>
  <c r="L114" i="12" s="1"/>
  <c r="M113" i="12" a="1"/>
  <c r="M113" i="12" s="1"/>
  <c r="L111" i="12" a="1"/>
  <c r="L111" i="12" s="1"/>
  <c r="M112" i="12" a="1"/>
  <c r="M112" i="12" s="1"/>
  <c r="L112" i="12" a="1"/>
  <c r="L112" i="12" s="1"/>
  <c r="M111" i="12" a="1"/>
  <c r="M111" i="12" s="1"/>
  <c r="L108" i="12" a="1"/>
  <c r="L108" i="12" s="1"/>
  <c r="M110" i="12" a="1"/>
  <c r="M110" i="12" s="1"/>
  <c r="L110" i="12" a="1"/>
  <c r="L110" i="12" s="1"/>
  <c r="M109" i="12" a="1"/>
  <c r="M109" i="12" s="1"/>
  <c r="L109" i="12" a="1"/>
  <c r="L109" i="12" s="1"/>
  <c r="M106" i="12" a="1"/>
  <c r="M106" i="12" s="1"/>
  <c r="L106" i="12" a="1"/>
  <c r="L106" i="12" s="1"/>
  <c r="M107" i="12" a="1"/>
  <c r="M107" i="12" s="1"/>
  <c r="L107" i="12" a="1"/>
  <c r="L107" i="12" s="1"/>
  <c r="M108" i="12" a="1"/>
  <c r="M108" i="12" s="1"/>
  <c r="M101" i="12" a="1"/>
  <c r="M101" i="12" s="1"/>
  <c r="L105" i="12" a="1"/>
  <c r="L105" i="12" s="1"/>
  <c r="L104" i="12" a="1"/>
  <c r="L104" i="12" s="1"/>
  <c r="M105" i="12" a="1"/>
  <c r="M105" i="12" s="1"/>
  <c r="L101" i="12" a="1"/>
  <c r="L101" i="12" s="1"/>
  <c r="M104" i="12" a="1"/>
  <c r="M104" i="12" s="1"/>
  <c r="L98" i="12" a="1"/>
  <c r="L98" i="12" s="1"/>
  <c r="M102" i="12" a="1"/>
  <c r="M102" i="12" s="1"/>
  <c r="M103" i="12" a="1"/>
  <c r="M103" i="12" s="1"/>
  <c r="L102" i="12" a="1"/>
  <c r="L102" i="12" s="1"/>
  <c r="L103" i="12" a="1"/>
  <c r="L103" i="12" s="1"/>
  <c r="M100" i="12" a="1"/>
  <c r="M100" i="12" s="1"/>
  <c r="L100" i="12" a="1"/>
  <c r="L100" i="12" s="1"/>
  <c r="M99" i="12" a="1"/>
  <c r="M99" i="12" s="1"/>
  <c r="M92" i="12" a="1"/>
  <c r="M92" i="12" s="1"/>
  <c r="L99" i="12" a="1"/>
  <c r="L99" i="12" s="1"/>
  <c r="M98" i="12" a="1"/>
  <c r="M98" i="12" s="1"/>
  <c r="M97" i="12" a="1"/>
  <c r="M97" i="12" s="1"/>
  <c r="L96" i="12" a="1"/>
  <c r="L96" i="12" s="1"/>
  <c r="L97" i="12" a="1"/>
  <c r="L97" i="12" s="1"/>
  <c r="M94" i="12" a="1"/>
  <c r="M94" i="12" s="1"/>
  <c r="M96" i="12" a="1"/>
  <c r="M96" i="12" s="1"/>
  <c r="L94" i="12" a="1"/>
  <c r="L94" i="12" s="1"/>
  <c r="M95" i="12" a="1"/>
  <c r="M95" i="12" s="1"/>
  <c r="L95" i="12" a="1"/>
  <c r="L95" i="12" s="1"/>
  <c r="M93" i="12" a="1"/>
  <c r="M93" i="12" s="1"/>
  <c r="L92" i="12" a="1"/>
  <c r="L92" i="12" s="1"/>
  <c r="L93" i="12" a="1"/>
  <c r="L93" i="12" s="1"/>
  <c r="M91" i="12" a="1"/>
  <c r="M91" i="12" s="1"/>
  <c r="L90" i="12" a="1"/>
  <c r="L90" i="12" s="1"/>
  <c r="L91" i="12" a="1"/>
  <c r="L91" i="12" s="1"/>
  <c r="M90" i="12" a="1"/>
  <c r="M90" i="12" s="1"/>
  <c r="L88" i="12" a="1"/>
  <c r="L88" i="12" s="1"/>
  <c r="M89" i="12" a="1"/>
  <c r="M89" i="12" s="1"/>
  <c r="L89" i="12" a="1"/>
  <c r="L89" i="12" s="1"/>
  <c r="M88" i="12" a="1"/>
  <c r="M88" i="12" s="1"/>
  <c r="L86" i="12" a="1"/>
  <c r="L86" i="12" s="1"/>
  <c r="M87" i="12" a="1"/>
  <c r="M87" i="12" s="1"/>
  <c r="L87" i="12" a="1"/>
  <c r="L87" i="12" s="1"/>
  <c r="M86" i="12" a="1"/>
  <c r="M86" i="12" s="1"/>
  <c r="L84" i="12" a="1"/>
  <c r="L84" i="12" s="1"/>
  <c r="M85" i="12" a="1"/>
  <c r="M85" i="12" s="1"/>
  <c r="L85" i="12" a="1"/>
  <c r="L85" i="12" s="1"/>
  <c r="M84" i="12" a="1"/>
  <c r="M84" i="12" s="1"/>
  <c r="L83" i="12" a="1"/>
  <c r="L83" i="12" s="1"/>
  <c r="M83" i="12" a="1"/>
  <c r="M83" i="12" s="1"/>
  <c r="M49" i="12" a="1"/>
  <c r="M49" i="12" s="1"/>
  <c r="M48" i="12" a="1"/>
  <c r="M48" i="12" s="1"/>
  <c r="M46" i="12" a="1"/>
  <c r="M46" i="12" s="1"/>
  <c r="M12" i="12" a="1"/>
  <c r="M12" i="12" s="1"/>
  <c r="M17" i="12" a="1"/>
  <c r="M17" i="12" s="1"/>
  <c r="M62" i="12" a="1"/>
  <c r="M62" i="12" s="1"/>
  <c r="L34" i="12" a="1"/>
  <c r="L34" i="12" s="1"/>
  <c r="L82" i="12" a="1"/>
  <c r="L82" i="12" s="1"/>
  <c r="L72" i="12" a="1"/>
  <c r="L72" i="12" s="1"/>
  <c r="M23" i="12" a="1"/>
  <c r="M23" i="12" s="1"/>
  <c r="M22" i="12" a="1"/>
  <c r="M22" i="12" s="1"/>
  <c r="M21" i="12" a="1"/>
  <c r="M21" i="12" s="1"/>
  <c r="M19" i="12" a="1"/>
  <c r="M19" i="12" s="1"/>
  <c r="M18" i="12" a="1"/>
  <c r="M18" i="12" s="1"/>
  <c r="L76" i="12" a="1"/>
  <c r="L76" i="12" s="1"/>
  <c r="M73" i="12" a="1"/>
  <c r="M73" i="12" s="1"/>
  <c r="M34" i="12" a="1"/>
  <c r="M34" i="12" s="1"/>
  <c r="M76" i="12" a="1"/>
  <c r="M76" i="12" s="1"/>
  <c r="M74" i="12" a="1"/>
  <c r="M74" i="12" s="1"/>
  <c r="L71" i="12" a="1"/>
  <c r="L71" i="12" s="1"/>
  <c r="M53" i="12" a="1"/>
  <c r="M53" i="12" s="1"/>
  <c r="M52" i="12" a="1"/>
  <c r="M52" i="12" s="1"/>
  <c r="M51" i="12" a="1"/>
  <c r="M51" i="12" s="1"/>
  <c r="M36" i="12" a="1"/>
  <c r="M36" i="12" s="1"/>
  <c r="M50" i="12" a="1"/>
  <c r="M50" i="12" s="1"/>
  <c r="M63" i="12" a="1"/>
  <c r="M63" i="12" s="1"/>
  <c r="M72" i="12" a="1"/>
  <c r="M72" i="12" s="1"/>
  <c r="L77" i="12" a="1"/>
  <c r="L77" i="12" s="1"/>
  <c r="M20" i="12" a="1"/>
  <c r="M20" i="12" s="1"/>
  <c r="M47" i="12" a="1"/>
  <c r="M47" i="12" s="1"/>
  <c r="M61" i="12" a="1"/>
  <c r="M61" i="12" s="1"/>
  <c r="M71" i="12" a="1"/>
  <c r="M71" i="12" s="1"/>
  <c r="L78" i="12" a="1"/>
  <c r="L78" i="12" s="1"/>
  <c r="M15" i="12" a="1"/>
  <c r="M15" i="12" s="1"/>
  <c r="M41" i="12" a="1"/>
  <c r="M41" i="12" s="1"/>
  <c r="M16" i="12" a="1"/>
  <c r="M16" i="12" s="1"/>
  <c r="L60" i="12" a="1"/>
  <c r="L60" i="12" s="1"/>
  <c r="L41" i="12" a="1"/>
  <c r="L41" i="12" s="1"/>
  <c r="L65" i="12" a="1"/>
  <c r="L65" i="12" s="1"/>
  <c r="M82" i="12" a="1"/>
  <c r="M82" i="12" s="1"/>
  <c r="L36" i="12" a="1"/>
  <c r="L36" i="12" s="1"/>
  <c r="M42" i="12" a="1"/>
  <c r="M42" i="12" s="1"/>
  <c r="L49" i="12" a="1"/>
  <c r="L49" i="12" s="1"/>
  <c r="M60" i="12" a="1"/>
  <c r="M60" i="12" s="1"/>
  <c r="M14" i="12" a="1"/>
  <c r="M14" i="12" s="1"/>
  <c r="L42" i="12" a="1"/>
  <c r="L42" i="12" s="1"/>
  <c r="M59" i="12" a="1"/>
  <c r="M59" i="12" s="1"/>
  <c r="M70" i="12" a="1"/>
  <c r="M70" i="12" s="1"/>
  <c r="M37" i="12" a="1"/>
  <c r="M37" i="12" s="1"/>
  <c r="L63" i="12" a="1"/>
  <c r="L63" i="12" s="1"/>
  <c r="L79" i="12" a="1"/>
  <c r="L79" i="12" s="1"/>
  <c r="L37" i="12" a="1"/>
  <c r="L37" i="12" s="1"/>
  <c r="M68" i="12" a="1"/>
  <c r="M68" i="12" s="1"/>
  <c r="M13" i="12" a="1"/>
  <c r="M13" i="12" s="1"/>
  <c r="L24" i="12" a="1"/>
  <c r="L24" i="12" s="1"/>
  <c r="L61" i="12" a="1"/>
  <c r="L61" i="12" s="1"/>
  <c r="M67" i="12" a="1"/>
  <c r="M67" i="12" s="1"/>
  <c r="L32" i="12" a="1"/>
  <c r="L32" i="12" s="1"/>
  <c r="M57" i="12" a="1"/>
  <c r="M57" i="12" s="1"/>
  <c r="L31" i="12" a="1"/>
  <c r="L31" i="12" s="1"/>
  <c r="M69" i="12" a="1"/>
  <c r="M69" i="12" s="1"/>
  <c r="L25" i="12" a="1"/>
  <c r="L25" i="12" s="1"/>
  <c r="M43" i="12" a="1"/>
  <c r="M43" i="12" s="1"/>
  <c r="L62" i="12" a="1"/>
  <c r="L62" i="12" s="1"/>
  <c r="M33" i="12" a="1"/>
  <c r="M33" i="12" s="1"/>
  <c r="L23" i="12" a="1"/>
  <c r="L23" i="12" s="1"/>
  <c r="M45" i="12" a="1"/>
  <c r="M45" i="12" s="1"/>
  <c r="M66" i="12" a="1"/>
  <c r="M66" i="12" s="1"/>
  <c r="L22" i="12" a="1"/>
  <c r="L22" i="12" s="1"/>
  <c r="M65" i="12" a="1"/>
  <c r="M65" i="12" s="1"/>
  <c r="L21" i="12" a="1"/>
  <c r="L21" i="12" s="1"/>
  <c r="M32" i="12" a="1"/>
  <c r="M32" i="12" s="1"/>
  <c r="M44" i="12" a="1"/>
  <c r="M44" i="12" s="1"/>
  <c r="L59" i="12" a="1"/>
  <c r="L59" i="12" s="1"/>
  <c r="M80" i="12" a="1"/>
  <c r="M80" i="12" s="1"/>
  <c r="M31" i="12" a="1"/>
  <c r="M31" i="12" s="1"/>
  <c r="M64" i="12" a="1"/>
  <c r="M64" i="12" s="1"/>
  <c r="L20" i="12" a="1"/>
  <c r="L20" i="12" s="1"/>
  <c r="M56" i="12" a="1"/>
  <c r="M56" i="12" s="1"/>
  <c r="M29" i="12" a="1"/>
  <c r="M29" i="12" s="1"/>
  <c r="L17" i="12" a="1"/>
  <c r="L17" i="12" s="1"/>
  <c r="M39" i="12" a="1"/>
  <c r="M39" i="12" s="1"/>
  <c r="M55" i="12" a="1"/>
  <c r="M55" i="12" s="1"/>
  <c r="M78" i="12" a="1"/>
  <c r="M78" i="12" s="1"/>
  <c r="M81" i="12" a="1"/>
  <c r="M81" i="12" s="1"/>
  <c r="M38" i="12" a="1"/>
  <c r="M38" i="12" s="1"/>
  <c r="M30" i="12" a="1"/>
  <c r="M30" i="12" s="1"/>
  <c r="M24" i="12" a="1"/>
  <c r="M24" i="12" s="1"/>
  <c r="L39" i="12" a="1"/>
  <c r="L39" i="12" s="1"/>
  <c r="M54" i="12" a="1"/>
  <c r="M54" i="12" s="1"/>
  <c r="M77" i="12" a="1"/>
  <c r="M77" i="12" s="1"/>
  <c r="L81" i="12" a="1"/>
  <c r="L81" i="12" s="1"/>
  <c r="L58" i="12" a="1"/>
  <c r="L58" i="12" s="1"/>
  <c r="L75" i="12" a="1"/>
  <c r="L75" i="12" s="1"/>
  <c r="L19" i="12" a="1"/>
  <c r="L19" i="12" s="1"/>
  <c r="L16" i="12" a="1"/>
  <c r="L16" i="12" s="1"/>
  <c r="L55" i="12" a="1"/>
  <c r="L55" i="12" s="1"/>
  <c r="L56" i="12" a="1"/>
  <c r="L56" i="12" s="1"/>
  <c r="L57" i="12" a="1"/>
  <c r="L57" i="12" s="1"/>
  <c r="L73" i="12" a="1"/>
  <c r="L73" i="12" s="1"/>
  <c r="L15" i="12" a="1"/>
  <c r="L15" i="12" s="1"/>
  <c r="L43" i="12" a="1"/>
  <c r="L43" i="12" s="1"/>
  <c r="L54" i="12" a="1"/>
  <c r="L54" i="12" s="1"/>
  <c r="L70" i="12" a="1"/>
  <c r="L70" i="12" s="1"/>
  <c r="L12" i="12" a="1"/>
  <c r="L12" i="12" s="1"/>
  <c r="L14" i="12" a="1"/>
  <c r="L14" i="12" s="1"/>
  <c r="L38" i="12" a="1"/>
  <c r="L38" i="12" s="1"/>
  <c r="L53" i="12" a="1"/>
  <c r="L53" i="12" s="1"/>
  <c r="L69" i="12" a="1"/>
  <c r="L69" i="12" s="1"/>
  <c r="L52" i="12" a="1"/>
  <c r="L52" i="12" s="1"/>
  <c r="L68" i="12" a="1"/>
  <c r="L68" i="12" s="1"/>
  <c r="L51" i="12" a="1"/>
  <c r="L51" i="12" s="1"/>
  <c r="L67" i="12" a="1"/>
  <c r="L67" i="12" s="1"/>
  <c r="L33" i="12" a="1"/>
  <c r="L33" i="12" s="1"/>
  <c r="L44" i="12" a="1"/>
  <c r="L44" i="12" s="1"/>
  <c r="L45" i="12" a="1"/>
  <c r="L45" i="12" s="1"/>
  <c r="L50" i="12" a="1"/>
  <c r="L50" i="12" s="1"/>
  <c r="L66" i="12" a="1"/>
  <c r="L66" i="12" s="1"/>
  <c r="M79" i="12" a="1"/>
  <c r="M79" i="12" s="1"/>
  <c r="L48" i="12" a="1"/>
  <c r="L48" i="12" s="1"/>
  <c r="L47" i="12" a="1"/>
  <c r="L47" i="12" s="1"/>
  <c r="L28" i="12" a="1"/>
  <c r="L28" i="12" s="1"/>
  <c r="L27" i="12" a="1"/>
  <c r="L27" i="12" s="1"/>
  <c r="M58" i="12" a="1"/>
  <c r="M58" i="12" s="1"/>
  <c r="L80" i="12" a="1"/>
  <c r="L80" i="12" s="1"/>
  <c r="L64" i="12" a="1"/>
  <c r="L64" i="12" s="1"/>
  <c r="L13" i="12" a="1"/>
  <c r="L13" i="12" s="1"/>
  <c r="L30" i="12" a="1"/>
  <c r="L30" i="12" s="1"/>
  <c r="L29" i="12" a="1"/>
  <c r="L29" i="12" s="1"/>
  <c r="L40" i="12" a="1"/>
  <c r="L40" i="12" s="1"/>
  <c r="L46" i="12" a="1"/>
  <c r="L46" i="12" s="1"/>
  <c r="L35" i="12" a="1"/>
  <c r="L35" i="12" s="1"/>
  <c r="L26" i="12" a="1"/>
  <c r="L26" i="12" s="1"/>
  <c r="M75" i="12" a="1"/>
  <c r="M75" i="12" s="1"/>
  <c r="L74" i="12" a="1"/>
  <c r="L74" i="12" s="1"/>
  <c r="M28" i="12" a="1"/>
  <c r="M28" i="12" s="1"/>
  <c r="M40" i="12" a="1"/>
  <c r="M40" i="12" s="1"/>
  <c r="M35" i="12" a="1"/>
  <c r="M35" i="12" s="1"/>
  <c r="M27" i="12" a="1"/>
  <c r="M27" i="12" s="1"/>
  <c r="M26" i="12" a="1"/>
  <c r="M26" i="12" s="1"/>
  <c r="F61" i="14"/>
  <c r="F60" i="14"/>
  <c r="D103" i="14"/>
  <c r="D99" i="14"/>
  <c r="D95" i="14"/>
  <c r="D91" i="14"/>
  <c r="D87" i="14"/>
  <c r="D83" i="14"/>
  <c r="D79" i="14"/>
  <c r="D75" i="14"/>
  <c r="D71" i="14"/>
  <c r="D67" i="14"/>
  <c r="D63" i="14"/>
  <c r="L18" i="12" a="1"/>
  <c r="L18" i="12" s="1"/>
  <c r="AQ22" i="15"/>
  <c r="C13" i="15" a="1"/>
  <c r="C13" i="15" s="1"/>
  <c r="C14" i="15" s="1" a="1"/>
  <c r="C14" i="15" s="1"/>
  <c r="J14" i="15" s="1" a="1"/>
  <c r="J14" i="15" s="1"/>
  <c r="E24" i="14" a="1"/>
  <c r="E24" i="14" s="1"/>
  <c r="E26" i="14" s="1"/>
  <c r="C6" i="16"/>
  <c r="C7" i="16" s="1"/>
  <c r="C8" i="16" s="1"/>
  <c r="C9" i="16" s="1"/>
  <c r="C10" i="16" s="1"/>
  <c r="C11" i="16" s="1"/>
  <c r="C12" i="16" s="1"/>
  <c r="C13" i="16" s="1"/>
  <c r="C14" i="16" s="1"/>
  <c r="C15" i="16" s="1"/>
  <c r="C1" i="16" a="1"/>
  <c r="C1" i="16" s="1"/>
  <c r="C1" i="15" a="1"/>
  <c r="C1" i="15" s="1"/>
  <c r="E12" i="14" a="1"/>
  <c r="E12" i="14" s="1"/>
  <c r="E11" i="14"/>
  <c r="E9" i="14"/>
  <c r="E8" i="14" a="1"/>
  <c r="E8" i="14" s="1"/>
  <c r="C1" i="14" a="1"/>
  <c r="C1" i="14" s="1"/>
  <c r="O12" i="12" a="1"/>
  <c r="O12" i="12" s="1"/>
  <c r="J59" i="14" s="1" a="1"/>
  <c r="J59" i="14" s="1"/>
  <c r="CI47" i="11"/>
  <c r="BU47" i="11"/>
  <c r="BG47" i="11"/>
  <c r="AS47" i="11"/>
  <c r="AE47" i="11"/>
  <c r="Q47" i="11"/>
  <c r="CI46" i="11"/>
  <c r="BU46" i="11"/>
  <c r="BG46" i="11"/>
  <c r="AS46" i="11"/>
  <c r="AE46" i="11"/>
  <c r="Q46" i="11"/>
  <c r="CI45" i="11"/>
  <c r="BU45" i="11"/>
  <c r="BG45" i="11"/>
  <c r="AS45" i="11"/>
  <c r="AE45" i="11"/>
  <c r="Q45" i="11"/>
  <c r="CI44" i="11"/>
  <c r="BU44" i="11"/>
  <c r="BG44" i="11"/>
  <c r="AS44" i="11"/>
  <c r="AE44" i="11"/>
  <c r="Q44" i="11"/>
  <c r="CI43" i="11"/>
  <c r="BU43" i="11"/>
  <c r="BG43" i="11"/>
  <c r="AS43" i="11"/>
  <c r="AE43" i="11"/>
  <c r="Q43" i="11"/>
  <c r="CI42" i="11"/>
  <c r="BU42" i="11"/>
  <c r="BG42" i="11"/>
  <c r="AS42" i="11"/>
  <c r="AE42" i="11"/>
  <c r="Q42" i="11"/>
  <c r="CI41" i="11"/>
  <c r="BU41" i="11"/>
  <c r="BG41" i="11"/>
  <c r="AS41" i="11"/>
  <c r="AE41" i="11"/>
  <c r="CI40" i="11"/>
  <c r="BU40" i="11"/>
  <c r="BG40" i="11"/>
  <c r="AS40" i="11"/>
  <c r="AE40" i="11"/>
  <c r="Q40" i="11"/>
  <c r="CI39" i="11"/>
  <c r="BU39" i="11"/>
  <c r="BG39" i="11"/>
  <c r="AS39" i="11"/>
  <c r="AE39" i="11"/>
  <c r="Q39" i="11"/>
  <c r="CI38" i="11"/>
  <c r="BU38" i="11"/>
  <c r="BG38" i="11"/>
  <c r="AS38" i="11"/>
  <c r="AE38" i="11"/>
  <c r="Q38" i="11"/>
  <c r="CI37" i="11"/>
  <c r="BU37" i="11"/>
  <c r="BG37" i="11"/>
  <c r="AS37" i="11"/>
  <c r="AE37" i="11"/>
  <c r="Q37" i="11"/>
  <c r="CI36" i="11"/>
  <c r="BU36" i="11"/>
  <c r="BG36" i="11"/>
  <c r="AS36" i="11"/>
  <c r="AE36" i="11"/>
  <c r="Q36" i="11"/>
  <c r="CI35" i="11"/>
  <c r="BU35" i="11"/>
  <c r="BG35" i="11"/>
  <c r="AS35" i="11"/>
  <c r="AE35" i="11"/>
  <c r="Q35" i="11"/>
  <c r="CI34" i="11"/>
  <c r="BU34" i="11"/>
  <c r="BG34" i="11"/>
  <c r="AS34" i="11"/>
  <c r="AE34" i="11"/>
  <c r="Q34" i="11"/>
  <c r="CI33" i="11"/>
  <c r="BU33" i="11"/>
  <c r="BG33" i="11"/>
  <c r="AS33" i="11"/>
  <c r="AE33" i="11"/>
  <c r="Q33" i="11"/>
  <c r="CI32" i="11"/>
  <c r="BU32" i="11"/>
  <c r="BG32" i="11"/>
  <c r="AS32" i="11"/>
  <c r="AE32" i="11"/>
  <c r="Q32" i="11"/>
  <c r="CI31" i="11"/>
  <c r="BU31" i="11"/>
  <c r="BG31" i="11"/>
  <c r="AS31" i="11"/>
  <c r="AE31" i="11"/>
  <c r="Q31" i="11"/>
  <c r="CI30" i="11"/>
  <c r="BU30" i="11"/>
  <c r="BG30" i="11"/>
  <c r="AS30" i="11"/>
  <c r="AE30" i="11"/>
  <c r="Q30" i="11"/>
  <c r="CI29" i="11"/>
  <c r="BU29" i="11"/>
  <c r="BG29" i="11"/>
  <c r="AS29" i="11"/>
  <c r="AE29" i="11"/>
  <c r="Q29" i="11"/>
  <c r="CI28" i="11"/>
  <c r="BU28" i="11"/>
  <c r="BG28" i="11"/>
  <c r="AS28" i="11"/>
  <c r="AE28" i="11"/>
  <c r="Q28" i="11"/>
  <c r="CI57" i="11"/>
  <c r="BU57" i="11"/>
  <c r="BG57" i="11"/>
  <c r="AS57" i="11"/>
  <c r="AE57" i="11"/>
  <c r="Q57" i="11"/>
  <c r="CI56" i="11"/>
  <c r="BU56" i="11"/>
  <c r="BG56" i="11"/>
  <c r="AS56" i="11"/>
  <c r="AE56" i="11"/>
  <c r="Q56" i="11"/>
  <c r="CI55" i="11"/>
  <c r="BU55" i="11"/>
  <c r="BG55" i="11"/>
  <c r="AS55" i="11"/>
  <c r="AE55" i="11"/>
  <c r="Q55" i="11"/>
  <c r="CI54" i="11"/>
  <c r="BU54" i="11"/>
  <c r="BG54" i="11"/>
  <c r="AS54" i="11"/>
  <c r="AE54" i="11"/>
  <c r="Q54" i="11"/>
  <c r="CI53" i="11"/>
  <c r="BU53" i="11"/>
  <c r="BG53" i="11"/>
  <c r="AS53" i="11"/>
  <c r="AE53" i="11"/>
  <c r="Q53" i="11"/>
  <c r="CI52" i="11"/>
  <c r="BU52" i="11"/>
  <c r="BG52" i="11"/>
  <c r="AS52" i="11"/>
  <c r="AE52" i="11"/>
  <c r="Q52" i="11"/>
  <c r="CI51" i="11"/>
  <c r="BU51" i="11"/>
  <c r="BG51" i="11"/>
  <c r="AS51" i="11"/>
  <c r="AE51" i="11"/>
  <c r="Q51" i="11"/>
  <c r="CI50" i="11"/>
  <c r="BU50" i="11"/>
  <c r="BG50" i="11"/>
  <c r="AS50" i="11"/>
  <c r="AE50" i="11"/>
  <c r="Q50" i="11"/>
  <c r="CI49" i="11"/>
  <c r="BU49" i="11"/>
  <c r="BG49" i="11"/>
  <c r="AS49" i="11"/>
  <c r="AE49" i="11"/>
  <c r="Q49" i="11"/>
  <c r="CI48" i="11"/>
  <c r="BU48" i="11"/>
  <c r="AS48" i="11"/>
  <c r="AE48" i="11"/>
  <c r="Q48" i="11"/>
  <c r="CI62" i="11"/>
  <c r="BU62" i="11"/>
  <c r="BG62" i="11"/>
  <c r="AS62" i="11"/>
  <c r="AE62" i="11"/>
  <c r="Q62" i="11"/>
  <c r="CI61" i="11"/>
  <c r="BU61" i="11"/>
  <c r="BG61" i="11"/>
  <c r="AS61" i="11"/>
  <c r="AE61" i="11"/>
  <c r="Q61" i="11"/>
  <c r="CI60" i="11"/>
  <c r="BU60" i="11"/>
  <c r="BG60" i="11"/>
  <c r="AS60" i="11"/>
  <c r="AE60" i="11"/>
  <c r="Q60" i="11"/>
  <c r="CI59" i="11"/>
  <c r="BU59" i="11"/>
  <c r="BG59" i="11"/>
  <c r="AS59" i="11"/>
  <c r="AE59" i="11"/>
  <c r="Q59" i="11"/>
  <c r="CI58" i="11"/>
  <c r="BU58" i="11"/>
  <c r="BG58" i="11"/>
  <c r="AS58" i="11"/>
  <c r="AE58" i="11"/>
  <c r="Q58" i="11"/>
  <c r="C1" i="12" a="1"/>
  <c r="C1" i="12" s="1"/>
  <c r="C1" i="11" a="1"/>
  <c r="C1" i="11" s="1"/>
  <c r="BU10" i="11"/>
  <c r="CI10" i="11"/>
  <c r="BU11" i="11"/>
  <c r="CI11" i="11"/>
  <c r="BU12" i="11"/>
  <c r="CI12" i="11"/>
  <c r="BU13" i="11"/>
  <c r="CI13" i="11"/>
  <c r="BU14" i="11"/>
  <c r="CI14" i="11"/>
  <c r="BU15" i="11"/>
  <c r="CI15" i="11"/>
  <c r="BU16" i="11"/>
  <c r="CI16" i="11"/>
  <c r="BU17" i="11"/>
  <c r="CI17" i="11"/>
  <c r="BU18" i="11"/>
  <c r="CI18" i="11"/>
  <c r="BU19" i="11"/>
  <c r="CI19" i="11"/>
  <c r="BU23" i="11"/>
  <c r="CI23" i="11"/>
  <c r="BU24" i="11"/>
  <c r="CI24" i="11"/>
  <c r="BU25" i="11"/>
  <c r="CI25" i="11"/>
  <c r="BU26" i="11"/>
  <c r="CI26" i="11"/>
  <c r="BU27" i="11"/>
  <c r="CI27" i="11"/>
  <c r="BU63" i="11"/>
  <c r="CI63" i="11"/>
  <c r="BU64" i="11"/>
  <c r="CI64" i="11"/>
  <c r="BU65" i="11"/>
  <c r="CI65" i="11"/>
  <c r="BU66" i="11"/>
  <c r="CI66" i="11"/>
  <c r="BU67" i="11"/>
  <c r="CI67" i="11"/>
  <c r="BU71" i="11"/>
  <c r="CI71" i="11"/>
  <c r="BU72" i="11"/>
  <c r="CI72" i="11"/>
  <c r="BU73" i="11"/>
  <c r="CI73" i="11"/>
  <c r="BU74" i="11"/>
  <c r="CI74" i="11"/>
  <c r="BU75" i="11"/>
  <c r="CI75" i="11"/>
  <c r="BU76" i="11"/>
  <c r="CI76" i="11"/>
  <c r="BU77" i="11"/>
  <c r="CI77" i="11"/>
  <c r="BU78" i="11"/>
  <c r="CI78" i="11"/>
  <c r="BU79" i="11"/>
  <c r="CI79" i="11"/>
  <c r="BU80" i="11"/>
  <c r="CI80" i="11"/>
  <c r="AS10" i="11"/>
  <c r="BG10" i="11"/>
  <c r="AS11" i="11"/>
  <c r="BG11" i="11"/>
  <c r="AS12" i="11"/>
  <c r="BG12" i="11"/>
  <c r="AS13" i="11"/>
  <c r="BG13" i="11"/>
  <c r="AS14" i="11"/>
  <c r="BG14" i="11"/>
  <c r="AS15" i="11"/>
  <c r="BG15" i="11"/>
  <c r="AS16" i="11"/>
  <c r="BG16" i="11"/>
  <c r="AS17" i="11"/>
  <c r="BG17" i="11"/>
  <c r="AS18" i="11"/>
  <c r="BG18" i="11"/>
  <c r="AS19" i="11"/>
  <c r="BG19" i="11"/>
  <c r="AS23" i="11"/>
  <c r="BG23" i="11"/>
  <c r="AS24" i="11"/>
  <c r="BG24" i="11"/>
  <c r="AS25" i="11"/>
  <c r="BG25" i="11"/>
  <c r="AS26" i="11"/>
  <c r="BG26" i="11"/>
  <c r="AS27" i="11"/>
  <c r="BG27" i="11"/>
  <c r="AS63" i="11"/>
  <c r="BG63" i="11"/>
  <c r="AS64" i="11"/>
  <c r="BG64" i="11"/>
  <c r="AS65" i="11"/>
  <c r="BG65" i="11"/>
  <c r="AS66" i="11"/>
  <c r="BG66" i="11"/>
  <c r="AS67" i="11"/>
  <c r="BG67" i="11"/>
  <c r="AS71" i="11"/>
  <c r="BG71" i="11"/>
  <c r="AS72" i="11"/>
  <c r="BG72" i="11"/>
  <c r="AS73" i="11"/>
  <c r="BG73" i="11"/>
  <c r="AS74" i="11"/>
  <c r="BG74" i="11"/>
  <c r="AS75" i="11"/>
  <c r="BG75" i="11"/>
  <c r="AS76" i="11"/>
  <c r="BG76" i="11"/>
  <c r="AS77" i="11"/>
  <c r="BG77" i="11"/>
  <c r="AS78" i="11"/>
  <c r="BG78" i="11"/>
  <c r="AS79" i="11"/>
  <c r="BG79" i="11"/>
  <c r="AS80" i="11"/>
  <c r="BG80" i="11"/>
  <c r="AE10" i="11"/>
  <c r="AE11" i="11"/>
  <c r="AE12" i="11"/>
  <c r="AE13" i="11"/>
  <c r="AE14" i="11"/>
  <c r="AE15" i="11"/>
  <c r="AE16" i="11"/>
  <c r="AE17" i="11"/>
  <c r="AE18" i="11"/>
  <c r="AE19" i="11"/>
  <c r="AE23" i="11"/>
  <c r="AE24" i="11"/>
  <c r="AE25" i="11"/>
  <c r="AE26" i="11"/>
  <c r="AE27" i="11"/>
  <c r="AE63" i="11"/>
  <c r="AE64" i="11"/>
  <c r="AE65" i="11"/>
  <c r="AE66" i="11"/>
  <c r="AE67" i="11"/>
  <c r="AE71" i="11"/>
  <c r="AE72" i="11"/>
  <c r="AE73" i="11"/>
  <c r="AE74" i="11"/>
  <c r="AE75" i="11"/>
  <c r="AE76" i="11"/>
  <c r="AE77" i="11"/>
  <c r="AE78" i="11"/>
  <c r="AE79" i="11"/>
  <c r="AE80" i="11"/>
  <c r="Q15" i="11"/>
  <c r="Q80" i="11"/>
  <c r="Q79" i="11"/>
  <c r="Q78" i="11"/>
  <c r="Q77" i="11"/>
  <c r="Q76" i="11"/>
  <c r="Q75" i="11"/>
  <c r="Q74" i="11"/>
  <c r="Q73" i="11"/>
  <c r="Q72" i="11"/>
  <c r="Q71" i="11"/>
  <c r="Q63" i="11"/>
  <c r="Q67" i="11"/>
  <c r="Q66" i="11"/>
  <c r="Q65" i="11"/>
  <c r="Q64" i="11"/>
  <c r="Q27" i="11"/>
  <c r="Q26" i="11"/>
  <c r="Q25" i="11"/>
  <c r="Q24" i="11"/>
  <c r="Q23" i="11"/>
  <c r="Q17" i="11"/>
  <c r="Q11" i="11"/>
  <c r="Q12" i="11"/>
  <c r="Q13" i="11"/>
  <c r="Q14" i="11"/>
  <c r="Q16" i="11"/>
  <c r="Q18" i="11"/>
  <c r="Q19" i="11"/>
  <c r="Q10" i="11"/>
  <c r="E5" i="11"/>
  <c r="M22" i="11" s="1"/>
  <c r="C1" i="10" a="1"/>
  <c r="C1" i="10" s="1"/>
  <c r="BM20" i="11" a="1"/>
  <c r="BP20" i="11" a="1"/>
  <c r="S20" i="11" a="1"/>
  <c r="AU68" i="11" a="1"/>
  <c r="BW20" i="11" a="1"/>
  <c r="CG20" i="11" a="1"/>
  <c r="BL68" i="11" a="1"/>
  <c r="AB20" i="11" a="1"/>
  <c r="BY68" i="11" a="1"/>
  <c r="U68" i="11" a="1"/>
  <c r="AJ68" i="11" a="1"/>
  <c r="CI68" i="11" a="1"/>
  <c r="BA20" i="11" a="1"/>
  <c r="K81" i="11" a="1"/>
  <c r="BQ81" i="11" a="1"/>
  <c r="BS68" i="11" a="1"/>
  <c r="BP68" i="11" a="1"/>
  <c r="BA81" i="11" a="1"/>
  <c r="AQ20" i="11" a="1"/>
  <c r="BZ20" i="11" a="1"/>
  <c r="BN81" i="11" a="1"/>
  <c r="AP81" i="11" a="1"/>
  <c r="BJ68" i="11" a="1"/>
  <c r="AA68" i="11" a="1"/>
  <c r="BB20" i="11" a="1"/>
  <c r="BI20" i="11" a="1"/>
  <c r="AG68" i="11" a="1"/>
  <c r="BU81" i="11" a="1"/>
  <c r="BR81" i="11" a="1"/>
  <c r="AV68" i="11" a="1"/>
  <c r="M81" i="11" a="1"/>
  <c r="AL20" i="11" a="1"/>
  <c r="X81" i="11" a="1"/>
  <c r="BB81" i="11" a="1"/>
  <c r="BX81" i="11" a="1"/>
  <c r="BR68" i="11" a="1"/>
  <c r="T68" i="11" a="1"/>
  <c r="L81" i="11" a="1"/>
  <c r="N81" i="11" a="1"/>
  <c r="X68" i="11" a="1"/>
  <c r="AW81" i="11" a="1"/>
  <c r="CC68" i="11" a="1"/>
  <c r="CD81" i="11" a="1"/>
  <c r="BW81" i="11" a="1"/>
  <c r="BR20" i="11" a="1"/>
  <c r="J81" i="11" a="1"/>
  <c r="O81" i="11" a="1"/>
  <c r="BK81" i="11" a="1"/>
  <c r="BO81" i="11" a="1"/>
  <c r="AJ81" i="11" a="1"/>
  <c r="CF68" i="11" a="1"/>
  <c r="BF68" i="11" a="1"/>
  <c r="BG68" i="11" a="1"/>
  <c r="AR81" i="11" a="1"/>
  <c r="BZ81" i="11" a="1"/>
  <c r="AU81" i="11" a="1"/>
  <c r="CB81" i="11" a="1"/>
  <c r="W68" i="11" a="1"/>
  <c r="BO68" i="11" a="1"/>
  <c r="BD20" i="11" a="1"/>
  <c r="CB68" i="11" a="1"/>
  <c r="AZ20" i="11" a="1"/>
  <c r="BQ20" i="11" a="1"/>
  <c r="P68" i="11" a="1"/>
  <c r="BI81" i="11" a="1"/>
  <c r="AZ68" i="11" a="1"/>
  <c r="AY20" i="11" a="1"/>
  <c r="W81" i="11" a="1"/>
  <c r="AD81" i="11" a="1"/>
  <c r="BP81" i="11" a="1"/>
  <c r="CF81" i="11" a="1"/>
  <c r="AD20" i="11" a="1"/>
  <c r="AK68" i="11" a="1"/>
  <c r="V81" i="11" a="1"/>
  <c r="AB68" i="11" a="1"/>
  <c r="S81" i="11" a="1"/>
  <c r="CE20" i="11" a="1"/>
  <c r="V20" i="11" a="1"/>
  <c r="S68" i="11" a="1"/>
  <c r="BS20" i="11" a="1"/>
  <c r="BF81" i="11" a="1"/>
  <c r="AX81" i="11" a="1"/>
  <c r="BX68" i="11" a="1"/>
  <c r="AQ81" i="11" a="1"/>
  <c r="AO68" i="11" a="1"/>
  <c r="CH81" i="11" a="1"/>
  <c r="AB81" i="11" a="1"/>
  <c r="AC81" i="11" a="1"/>
  <c r="AD68" i="11" a="1"/>
  <c r="BI68" i="11" a="1"/>
  <c r="AY68" i="11" a="1"/>
  <c r="J68" i="11" a="1"/>
  <c r="AH68" i="11" a="1"/>
  <c r="CC81" i="11" a="1"/>
  <c r="CD20" i="11" a="1"/>
  <c r="AC68" i="11" a="1"/>
  <c r="AE68" i="11" a="1"/>
  <c r="CG81" i="11" a="1"/>
  <c r="N68" i="11" a="1"/>
  <c r="CD68" i="11" a="1"/>
  <c r="L68" i="11" a="1"/>
  <c r="BK68" i="11" a="1"/>
  <c r="AO20" i="11" a="1"/>
  <c r="E20" i="11" a="1"/>
  <c r="AC20" i="11" a="1"/>
  <c r="Z68" i="11" a="1"/>
  <c r="AJ20" i="11" a="1"/>
  <c r="U81" i="11" a="1"/>
  <c r="AQ68" i="11" a="1"/>
  <c r="BB68" i="11" a="1"/>
  <c r="AI68" i="11" a="1"/>
  <c r="CG68" i="11" a="1"/>
  <c r="BM81" i="11" a="1"/>
  <c r="H81" i="11" a="1"/>
  <c r="AI81" i="11" a="1"/>
  <c r="Z20" i="11" a="1"/>
  <c r="CB20" i="11" a="1"/>
  <c r="AE81" i="11" a="1"/>
  <c r="AM20" i="11" a="1"/>
  <c r="AV81" i="11" a="1"/>
  <c r="W20" i="11" a="1"/>
  <c r="AH81" i="11" a="1"/>
  <c r="AZ81" i="11" a="1"/>
  <c r="BW68" i="11" a="1"/>
  <c r="CE68" i="11" a="1"/>
  <c r="BT20" i="11" a="1"/>
  <c r="AS20" i="11" a="1"/>
  <c r="BT81" i="11" a="1"/>
  <c r="E68" i="11" a="1"/>
  <c r="AA20" i="11" a="1"/>
  <c r="X20" i="11" a="1"/>
  <c r="AN81" i="11" a="1"/>
  <c r="Q68" i="11" a="1"/>
  <c r="BN68" i="11" a="1"/>
  <c r="BJ81" i="11" a="1"/>
  <c r="AL81" i="11" a="1"/>
  <c r="BO20" i="11" a="1"/>
  <c r="AM81" i="11" a="1"/>
  <c r="AH20" i="11" a="1"/>
  <c r="AN20" i="11" a="1"/>
  <c r="CA81" i="11" a="1"/>
  <c r="BT68" i="11" a="1"/>
  <c r="AK20" i="11" a="1"/>
  <c r="BK20" i="11" a="1"/>
  <c r="BC81" i="11" a="1"/>
  <c r="T20" i="11" a="1"/>
  <c r="K68" i="11" a="1"/>
  <c r="AS81" i="11" a="1"/>
  <c r="H68" i="11" a="1"/>
  <c r="AE20" i="11" a="1"/>
  <c r="BZ68" i="11" a="1"/>
  <c r="BE20" i="11" a="1"/>
  <c r="CA68" i="11" a="1"/>
  <c r="BX20" i="11" a="1"/>
  <c r="Y81" i="11" a="1"/>
  <c r="BY20" i="11" a="1"/>
  <c r="I81" i="11" a="1"/>
  <c r="O68" i="11" a="1"/>
  <c r="AI20" i="11" a="1"/>
  <c r="BE81" i="11" a="1"/>
  <c r="BG20" i="11" a="1"/>
  <c r="I68" i="11" a="1"/>
  <c r="BQ68" i="11" a="1"/>
  <c r="BE68" i="11" a="1"/>
  <c r="AY81" i="11" a="1"/>
  <c r="BM68" i="11" a="1"/>
  <c r="AR20" i="11" a="1"/>
  <c r="G81" i="11" a="1"/>
  <c r="AK81" i="11" a="1"/>
  <c r="U20" i="11" a="1"/>
  <c r="F68" i="11" a="1"/>
  <c r="AU20" i="11" a="1"/>
  <c r="BD81" i="11" a="1"/>
  <c r="AN68" i="11" a="1"/>
  <c r="BF20" i="11" a="1"/>
  <c r="AR68" i="11" a="1"/>
  <c r="AX68" i="11" a="1"/>
  <c r="Y68" i="11" a="1"/>
  <c r="BL81" i="11" a="1"/>
  <c r="V68" i="11" a="1"/>
  <c r="Y20" i="11" a="1"/>
  <c r="AW68" i="11" a="1"/>
  <c r="AW20" i="11" a="1"/>
  <c r="CF20" i="11" a="1"/>
  <c r="Z81" i="11" a="1"/>
  <c r="CI20" i="11" a="1"/>
  <c r="BN20" i="11" a="1"/>
  <c r="AG81" i="11" a="1"/>
  <c r="BJ20" i="11" a="1"/>
  <c r="BS81" i="11" a="1"/>
  <c r="F81" i="11" a="1"/>
  <c r="AO81" i="11" a="1"/>
  <c r="M68" i="11" a="1"/>
  <c r="E81" i="11" a="1"/>
  <c r="CI81" i="11" a="1"/>
  <c r="BY81" i="11" a="1"/>
  <c r="BL20" i="11" a="1"/>
  <c r="Q81" i="11" a="1"/>
  <c r="AM68" i="11" a="1"/>
  <c r="BU20" i="11" a="1"/>
  <c r="AP20" i="11" a="1"/>
  <c r="BU68" i="11" a="1"/>
  <c r="T81" i="11" a="1"/>
  <c r="AA81" i="11" a="1"/>
  <c r="AG20" i="11" a="1"/>
  <c r="CH20" i="11" a="1"/>
  <c r="P81" i="11" a="1"/>
  <c r="BC20" i="11" a="1"/>
  <c r="AL68" i="11" a="1"/>
  <c r="CC20" i="11" a="1"/>
  <c r="AS68" i="11" a="1"/>
  <c r="BC68" i="11" a="1"/>
  <c r="CH68" i="11" a="1"/>
  <c r="BA68" i="11" a="1"/>
  <c r="BG81" i="11" a="1"/>
  <c r="CE81" i="11" a="1"/>
  <c r="G68" i="11" a="1"/>
  <c r="AV20" i="11" a="1"/>
  <c r="CA20" i="11" a="1"/>
  <c r="BD68" i="11" a="1"/>
  <c r="AX20" i="11" a="1"/>
  <c r="AP68" i="11" a="1"/>
  <c r="E27" i="14" l="1" a="1"/>
  <c r="E27" i="14" s="1"/>
  <c r="G60" i="14"/>
  <c r="G61" i="14"/>
  <c r="J60" i="14" a="1"/>
  <c r="J60" i="14" s="1"/>
  <c r="J61" i="14" a="1"/>
  <c r="J61" i="14" s="1"/>
  <c r="G59" i="14"/>
  <c r="F63" i="14"/>
  <c r="G63" i="14" s="1"/>
  <c r="F64" i="14"/>
  <c r="G64" i="14" s="1"/>
  <c r="F65" i="14"/>
  <c r="F71" i="14"/>
  <c r="G71" i="14" s="1"/>
  <c r="F72" i="14"/>
  <c r="G72" i="14" s="1"/>
  <c r="F73" i="14"/>
  <c r="G73" i="14" s="1"/>
  <c r="F75" i="14"/>
  <c r="G75" i="14" s="1"/>
  <c r="F76" i="14"/>
  <c r="G76" i="14" s="1"/>
  <c r="F77" i="14"/>
  <c r="G77" i="14" s="1"/>
  <c r="F79" i="14"/>
  <c r="G79" i="14" s="1"/>
  <c r="F80" i="14"/>
  <c r="G80" i="14" s="1"/>
  <c r="F81" i="14"/>
  <c r="G81" i="14" s="1"/>
  <c r="F89" i="14"/>
  <c r="G89" i="14" s="1"/>
  <c r="F88" i="14"/>
  <c r="G88" i="14" s="1"/>
  <c r="F87" i="14"/>
  <c r="G87" i="14" s="1"/>
  <c r="F99" i="14"/>
  <c r="G99" i="14" s="1"/>
  <c r="F100" i="14"/>
  <c r="G100" i="14" s="1"/>
  <c r="F101" i="14"/>
  <c r="G101" i="14" s="1"/>
  <c r="F67" i="14"/>
  <c r="G67" i="14" s="1"/>
  <c r="F68" i="14"/>
  <c r="F69" i="14"/>
  <c r="G69" i="14" s="1"/>
  <c r="F83" i="14"/>
  <c r="G83" i="14" s="1"/>
  <c r="F84" i="14"/>
  <c r="G84" i="14" s="1"/>
  <c r="F85" i="14"/>
  <c r="G85" i="14" s="1"/>
  <c r="F91" i="14"/>
  <c r="G91" i="14" s="1"/>
  <c r="F92" i="14"/>
  <c r="G92" i="14" s="1"/>
  <c r="F93" i="14"/>
  <c r="G93" i="14" s="1"/>
  <c r="F95" i="14"/>
  <c r="G95" i="14" s="1"/>
  <c r="F96" i="14"/>
  <c r="G96" i="14" s="1"/>
  <c r="F97" i="14"/>
  <c r="G97" i="14" s="1"/>
  <c r="F103" i="14"/>
  <c r="G103" i="14" s="1"/>
  <c r="F104" i="14"/>
  <c r="G104" i="14" s="1"/>
  <c r="F105" i="14"/>
  <c r="G105" i="14" s="1"/>
  <c r="H13" i="15"/>
  <c r="C15" i="15" a="1"/>
  <c r="C15" i="15" s="1"/>
  <c r="G13" i="15" a="1"/>
  <c r="G13" i="15" s="1"/>
  <c r="E13" i="15" a="1"/>
  <c r="E13" i="15" s="1"/>
  <c r="J13" i="15" a="1"/>
  <c r="J13" i="15" s="1"/>
  <c r="E25" i="14"/>
  <c r="E14" i="14"/>
  <c r="E17" i="14" s="1"/>
  <c r="E13" i="14"/>
  <c r="E16" i="14" s="1"/>
  <c r="E15" i="14"/>
  <c r="E18" i="14" s="1"/>
  <c r="E10" i="14"/>
  <c r="N22" i="11"/>
  <c r="S5" i="11"/>
  <c r="AE22" i="11" s="1"/>
  <c r="J70" i="11"/>
  <c r="M9" i="11"/>
  <c r="N9" i="11"/>
  <c r="M70" i="11"/>
  <c r="N70" i="11"/>
  <c r="F9" i="11"/>
  <c r="E70" i="11"/>
  <c r="F70" i="11"/>
  <c r="I9" i="11"/>
  <c r="J9" i="11"/>
  <c r="K9" i="11"/>
  <c r="I70" i="11"/>
  <c r="L9" i="11"/>
  <c r="K70" i="11"/>
  <c r="Q70" i="11"/>
  <c r="L70" i="11"/>
  <c r="O9" i="11"/>
  <c r="P9" i="11"/>
  <c r="E22" i="11"/>
  <c r="O70" i="11"/>
  <c r="P22" i="11"/>
  <c r="P70" i="11"/>
  <c r="G22" i="11"/>
  <c r="H22" i="11"/>
  <c r="I22" i="11"/>
  <c r="O22" i="11"/>
  <c r="G9" i="11"/>
  <c r="H9" i="11"/>
  <c r="G70" i="11"/>
  <c r="H70" i="11"/>
  <c r="F22" i="11"/>
  <c r="J22" i="11"/>
  <c r="K22" i="11"/>
  <c r="L22" i="11"/>
  <c r="E9" i="11"/>
  <c r="BR20" i="11"/>
  <c r="CB20" i="11"/>
  <c r="CC81" i="11"/>
  <c r="BU81" i="11"/>
  <c r="BK81" i="11"/>
  <c r="CE68" i="11"/>
  <c r="BT68" i="11"/>
  <c r="BJ68" i="11"/>
  <c r="CD20" i="11"/>
  <c r="BS20" i="11"/>
  <c r="BI20" i="11"/>
  <c r="CB81" i="11"/>
  <c r="BQ81" i="11"/>
  <c r="CA68" i="11"/>
  <c r="BP68" i="11"/>
  <c r="BZ20" i="11"/>
  <c r="BO20" i="11"/>
  <c r="BS81" i="11"/>
  <c r="CD68" i="11"/>
  <c r="CD81" i="11"/>
  <c r="BQ20" i="11"/>
  <c r="BP20" i="11"/>
  <c r="CI20" i="11"/>
  <c r="BS68" i="11"/>
  <c r="CA20" i="11"/>
  <c r="CA81" i="11"/>
  <c r="BZ68" i="11"/>
  <c r="BN20" i="11"/>
  <c r="BZ81" i="11"/>
  <c r="BY81" i="11"/>
  <c r="BX68" i="11"/>
  <c r="BW20" i="11"/>
  <c r="BM81" i="11"/>
  <c r="BW68" i="11"/>
  <c r="BL68" i="11"/>
  <c r="CF20" i="11"/>
  <c r="BU20" i="11"/>
  <c r="BK20" i="11"/>
  <c r="CE81" i="11"/>
  <c r="BR68" i="11"/>
  <c r="CB68" i="11"/>
  <c r="CI68" i="11"/>
  <c r="BY68" i="11"/>
  <c r="BN68" i="11"/>
  <c r="CH20" i="11"/>
  <c r="BX20" i="11"/>
  <c r="BM20" i="11"/>
  <c r="CH68" i="11"/>
  <c r="CG20" i="11"/>
  <c r="BX81" i="11"/>
  <c r="BL81" i="11"/>
  <c r="BU68" i="11"/>
  <c r="CE20" i="11"/>
  <c r="BJ20" i="11"/>
  <c r="BT81" i="11"/>
  <c r="CC20" i="11"/>
  <c r="BI81" i="11"/>
  <c r="BR81" i="11"/>
  <c r="BQ68" i="11"/>
  <c r="BP81" i="11"/>
  <c r="BO68" i="11"/>
  <c r="BY20" i="11"/>
  <c r="BO81" i="11"/>
  <c r="CI81" i="11"/>
  <c r="BN81" i="11"/>
  <c r="BM68" i="11"/>
  <c r="BL20" i="11"/>
  <c r="CH81" i="11"/>
  <c r="CG68" i="11"/>
  <c r="CG81" i="11"/>
  <c r="BW81" i="11"/>
  <c r="CF68" i="11"/>
  <c r="BK68" i="11"/>
  <c r="BT20" i="11"/>
  <c r="BJ81" i="11"/>
  <c r="BI68" i="11"/>
  <c r="CC68" i="11"/>
  <c r="CF81" i="11"/>
  <c r="BB81" i="11"/>
  <c r="BA68" i="11"/>
  <c r="AO20" i="11"/>
  <c r="BA81" i="11"/>
  <c r="AZ81" i="11"/>
  <c r="AN68" i="11"/>
  <c r="AM20" i="11"/>
  <c r="AY81" i="11"/>
  <c r="AN81" i="11"/>
  <c r="AX68" i="11"/>
  <c r="AM68" i="11"/>
  <c r="BG20" i="11"/>
  <c r="AW20" i="11"/>
  <c r="AL20" i="11"/>
  <c r="AH81" i="11"/>
  <c r="BB68" i="11"/>
  <c r="BA20" i="11"/>
  <c r="AG81" i="11"/>
  <c r="AZ20" i="11"/>
  <c r="AO68" i="11"/>
  <c r="AN20" i="11"/>
  <c r="AX20" i="11"/>
  <c r="AX81" i="11"/>
  <c r="AL68" i="11"/>
  <c r="AV20" i="11"/>
  <c r="BG81" i="11"/>
  <c r="AW81" i="11"/>
  <c r="BF68" i="11"/>
  <c r="AK68" i="11"/>
  <c r="BE20" i="11"/>
  <c r="AJ20" i="11"/>
  <c r="AR81" i="11"/>
  <c r="AG68" i="11"/>
  <c r="AP68" i="11"/>
  <c r="AZ68" i="11"/>
  <c r="AY20" i="11"/>
  <c r="AO81" i="11"/>
  <c r="BG68" i="11"/>
  <c r="BF20" i="11"/>
  <c r="AK20" i="11"/>
  <c r="AL81" i="11"/>
  <c r="AV68" i="11"/>
  <c r="AU20" i="11"/>
  <c r="BC81" i="11"/>
  <c r="AQ68" i="11"/>
  <c r="AP20" i="11"/>
  <c r="AQ81" i="11"/>
  <c r="AP81" i="11"/>
  <c r="AY68" i="11"/>
  <c r="AM81" i="11"/>
  <c r="AW68" i="11"/>
  <c r="BF81" i="11"/>
  <c r="AV81" i="11"/>
  <c r="AK81" i="11"/>
  <c r="BE68" i="11"/>
  <c r="AU68" i="11"/>
  <c r="AJ68" i="11"/>
  <c r="BD20" i="11"/>
  <c r="AS20" i="11"/>
  <c r="AI20" i="11"/>
  <c r="BE81" i="11"/>
  <c r="AU81" i="11"/>
  <c r="AJ81" i="11"/>
  <c r="BD68" i="11"/>
  <c r="AS68" i="11"/>
  <c r="AI68" i="11"/>
  <c r="BC20" i="11"/>
  <c r="AR20" i="11"/>
  <c r="AH20" i="11"/>
  <c r="BD81" i="11"/>
  <c r="AS81" i="11"/>
  <c r="AI81" i="11"/>
  <c r="BC68" i="11"/>
  <c r="AR68" i="11"/>
  <c r="AH68" i="11"/>
  <c r="BB20" i="11"/>
  <c r="AQ20" i="11"/>
  <c r="AG20" i="11"/>
  <c r="W20" i="11"/>
  <c r="V20" i="11"/>
  <c r="Y68" i="11"/>
  <c r="AD81" i="11"/>
  <c r="T81" i="11"/>
  <c r="AC20" i="11"/>
  <c r="S20" i="11"/>
  <c r="X81" i="11"/>
  <c r="AB68" i="11"/>
  <c r="AE20" i="11"/>
  <c r="Z68" i="11"/>
  <c r="U81" i="11"/>
  <c r="AD20" i="11"/>
  <c r="X68" i="11"/>
  <c r="S81" i="11"/>
  <c r="AA20" i="11"/>
  <c r="V68" i="11"/>
  <c r="AC68" i="11"/>
  <c r="W81" i="11"/>
  <c r="U20" i="11"/>
  <c r="AE81" i="11"/>
  <c r="AC81" i="11"/>
  <c r="Z20" i="11"/>
  <c r="U68" i="11"/>
  <c r="Y20" i="11"/>
  <c r="S68" i="11"/>
  <c r="AA68" i="11"/>
  <c r="T20" i="11"/>
  <c r="AB20" i="11"/>
  <c r="W68" i="11"/>
  <c r="AB81" i="11"/>
  <c r="AA81" i="11"/>
  <c r="AE68" i="11"/>
  <c r="Z81" i="11"/>
  <c r="AD68" i="11"/>
  <c r="T68" i="11"/>
  <c r="V81" i="11"/>
  <c r="Y81" i="11"/>
  <c r="X20" i="11"/>
  <c r="E20" i="11"/>
  <c r="G81" i="11"/>
  <c r="N81" i="11"/>
  <c r="J81" i="11"/>
  <c r="Q81" i="11"/>
  <c r="P81" i="11"/>
  <c r="F81" i="11"/>
  <c r="O81" i="11"/>
  <c r="M81" i="11"/>
  <c r="L81" i="11"/>
  <c r="K81" i="11"/>
  <c r="H81" i="11"/>
  <c r="I81" i="11"/>
  <c r="E81" i="11"/>
  <c r="L68" i="11"/>
  <c r="Q68" i="11"/>
  <c r="P68" i="11"/>
  <c r="O68" i="11"/>
  <c r="N68" i="11"/>
  <c r="M68" i="11"/>
  <c r="J68" i="11"/>
  <c r="I68" i="11"/>
  <c r="H68" i="11"/>
  <c r="G68" i="11"/>
  <c r="F68" i="11"/>
  <c r="K68" i="11"/>
  <c r="E68" i="11"/>
  <c r="Q22" i="11"/>
  <c r="Q9" i="11"/>
  <c r="N13" i="15" l="1" a="1"/>
  <c r="N13" i="15" s="1"/>
  <c r="K61" i="14" a="1"/>
  <c r="K61" i="14" s="1"/>
  <c r="M61" i="14" s="1"/>
  <c r="E28" i="14"/>
  <c r="K60" i="14" a="1"/>
  <c r="K60" i="14" s="1"/>
  <c r="M60" i="14" s="1"/>
  <c r="K59" i="14" a="1"/>
  <c r="K59" i="14" s="1"/>
  <c r="L59" i="14" s="1"/>
  <c r="Q59" i="14" s="1"/>
  <c r="K68" i="14" a="1"/>
  <c r="K68" i="14" s="1"/>
  <c r="K65" i="14" a="1"/>
  <c r="K65" i="14" s="1"/>
  <c r="G65" i="14"/>
  <c r="G68" i="14"/>
  <c r="K84" i="14" a="1"/>
  <c r="K84" i="14" s="1"/>
  <c r="K64" i="14" a="1"/>
  <c r="K64" i="14" s="1"/>
  <c r="K69" i="14" a="1"/>
  <c r="K69" i="14" s="1"/>
  <c r="K89" i="14" a="1"/>
  <c r="K89" i="14" s="1"/>
  <c r="K77" i="14" a="1"/>
  <c r="K77" i="14" s="1"/>
  <c r="K92" i="14" a="1"/>
  <c r="K92" i="14" s="1"/>
  <c r="K80" i="14" a="1"/>
  <c r="K80" i="14" s="1"/>
  <c r="K85" i="14" a="1"/>
  <c r="K85" i="14" s="1"/>
  <c r="K88" i="14" a="1"/>
  <c r="K88" i="14" s="1"/>
  <c r="K101" i="14" a="1"/>
  <c r="K101" i="14" s="1"/>
  <c r="K100" i="14" a="1"/>
  <c r="K100" i="14" s="1"/>
  <c r="K105" i="14" a="1"/>
  <c r="K105" i="14" s="1"/>
  <c r="K104" i="14" a="1"/>
  <c r="K104" i="14" s="1"/>
  <c r="K81" i="14" a="1"/>
  <c r="K81" i="14" s="1"/>
  <c r="K97" i="14" a="1"/>
  <c r="K97" i="14" s="1"/>
  <c r="K96" i="14" a="1"/>
  <c r="K96" i="14" s="1"/>
  <c r="K76" i="14" a="1"/>
  <c r="K76" i="14" s="1"/>
  <c r="K93" i="14" a="1"/>
  <c r="K93" i="14" s="1"/>
  <c r="K73" i="14" a="1"/>
  <c r="K73" i="14" s="1"/>
  <c r="K72" i="14" a="1"/>
  <c r="K72" i="14" s="1"/>
  <c r="J85" i="14" a="1"/>
  <c r="J85" i="14" s="1"/>
  <c r="J71" i="14" a="1"/>
  <c r="J71" i="14" s="1"/>
  <c r="J84" i="14" a="1"/>
  <c r="J84" i="14" s="1"/>
  <c r="J100" i="14" a="1"/>
  <c r="J100" i="14" s="1"/>
  <c r="J99" i="14" a="1"/>
  <c r="J99" i="14" s="1"/>
  <c r="J87" i="14" a="1"/>
  <c r="J87" i="14" s="1"/>
  <c r="J88" i="14" a="1"/>
  <c r="J88" i="14" s="1"/>
  <c r="J105" i="14" a="1"/>
  <c r="J105" i="14" s="1"/>
  <c r="J89" i="14" a="1"/>
  <c r="J89" i="14" s="1"/>
  <c r="J104" i="14" a="1"/>
  <c r="J104" i="14" s="1"/>
  <c r="J81" i="14" a="1"/>
  <c r="J81" i="14" s="1"/>
  <c r="J103" i="14" a="1"/>
  <c r="J103" i="14" s="1"/>
  <c r="J80" i="14" a="1"/>
  <c r="J80" i="14" s="1"/>
  <c r="J97" i="14" a="1"/>
  <c r="J97" i="14" s="1"/>
  <c r="J79" i="14" a="1"/>
  <c r="J79" i="14" s="1"/>
  <c r="J96" i="14" a="1"/>
  <c r="J96" i="14" s="1"/>
  <c r="J77" i="14" a="1"/>
  <c r="J77" i="14" s="1"/>
  <c r="J95" i="14" a="1"/>
  <c r="J95" i="14" s="1"/>
  <c r="J76" i="14" a="1"/>
  <c r="J76" i="14" s="1"/>
  <c r="J93" i="14" a="1"/>
  <c r="J93" i="14" s="1"/>
  <c r="J75" i="14" a="1"/>
  <c r="J75" i="14" s="1"/>
  <c r="J92" i="14" a="1"/>
  <c r="J92" i="14" s="1"/>
  <c r="J73" i="14" a="1"/>
  <c r="J73" i="14" s="1"/>
  <c r="J91" i="14" a="1"/>
  <c r="J91" i="14" s="1"/>
  <c r="J72" i="14" a="1"/>
  <c r="J72" i="14" s="1"/>
  <c r="J67" i="14" a="1"/>
  <c r="J67" i="14" s="1"/>
  <c r="J65" i="14" a="1"/>
  <c r="J65" i="14" s="1"/>
  <c r="J83" i="14" a="1"/>
  <c r="J83" i="14" s="1"/>
  <c r="J64" i="14" a="1"/>
  <c r="J64" i="14" s="1"/>
  <c r="J69" i="14" a="1"/>
  <c r="J69" i="14" s="1"/>
  <c r="J63" i="14" a="1"/>
  <c r="J63" i="14" s="1"/>
  <c r="J68" i="14" a="1"/>
  <c r="J68" i="14" s="1"/>
  <c r="J101" i="14" a="1"/>
  <c r="J101" i="14" s="1"/>
  <c r="Z22" i="11"/>
  <c r="AA9" i="11"/>
  <c r="AC9" i="11"/>
  <c r="AE9" i="11"/>
  <c r="V70" i="11"/>
  <c r="U70" i="11"/>
  <c r="Z9" i="11"/>
  <c r="D13" i="15"/>
  <c r="I13" i="15" s="1" a="1"/>
  <c r="I13" i="15" s="1"/>
  <c r="C16" i="15" a="1"/>
  <c r="C16" i="15" s="1"/>
  <c r="AJ13" i="15"/>
  <c r="AL13" i="15"/>
  <c r="AK13" i="15"/>
  <c r="L13" i="15" a="1"/>
  <c r="L13" i="15" s="1"/>
  <c r="AF13" i="15"/>
  <c r="AI13" i="15"/>
  <c r="AG13" i="15"/>
  <c r="AH13" i="15"/>
  <c r="M13" i="15" a="1"/>
  <c r="M13" i="15" s="1"/>
  <c r="E14" i="15" a="1"/>
  <c r="E14" i="15" s="1"/>
  <c r="H14" i="15"/>
  <c r="G14" i="15" a="1"/>
  <c r="G14" i="15" s="1"/>
  <c r="F13" i="15"/>
  <c r="K13" i="15" a="1"/>
  <c r="K13" i="15" s="1"/>
  <c r="AE11" i="15"/>
  <c r="AN11" i="15"/>
  <c r="T70" i="11"/>
  <c r="Y22" i="11"/>
  <c r="AA22" i="11"/>
  <c r="S70" i="11"/>
  <c r="U22" i="11"/>
  <c r="Y9" i="11"/>
  <c r="AD22" i="11"/>
  <c r="AA70" i="11"/>
  <c r="AC70" i="11"/>
  <c r="AB9" i="11"/>
  <c r="AD9" i="11"/>
  <c r="V9" i="11"/>
  <c r="X70" i="11"/>
  <c r="W70" i="11"/>
  <c r="Z70" i="11"/>
  <c r="U9" i="11"/>
  <c r="V22" i="11"/>
  <c r="T22" i="11"/>
  <c r="AB70" i="11"/>
  <c r="W22" i="11"/>
  <c r="AC22" i="11"/>
  <c r="AE70" i="11"/>
  <c r="S9" i="11"/>
  <c r="Y70" i="11"/>
  <c r="AB22" i="11"/>
  <c r="X9" i="11"/>
  <c r="S22" i="11"/>
  <c r="AD70" i="11"/>
  <c r="W9" i="11"/>
  <c r="AG5" i="11"/>
  <c r="T9" i="11"/>
  <c r="X22" i="11"/>
  <c r="BO7" i="11"/>
  <c r="BO6" i="11" s="1"/>
  <c r="AM7" i="11"/>
  <c r="AM6" i="11" s="1"/>
  <c r="BK7" i="11"/>
  <c r="BK6" i="11" s="1"/>
  <c r="BU7" i="11"/>
  <c r="BU6" i="11" s="1"/>
  <c r="AG7" i="11"/>
  <c r="AG6" i="11" s="1"/>
  <c r="AK7" i="11"/>
  <c r="AK6" i="11" s="1"/>
  <c r="BZ7" i="11"/>
  <c r="BZ6" i="11" s="1"/>
  <c r="CH7" i="11"/>
  <c r="CH6" i="11" s="1"/>
  <c r="AX7" i="11"/>
  <c r="AX6" i="11" s="1"/>
  <c r="BT7" i="11"/>
  <c r="BT6" i="11" s="1"/>
  <c r="CE7" i="11"/>
  <c r="CE6" i="11" s="1"/>
  <c r="AI7" i="11"/>
  <c r="AI6" i="11" s="1"/>
  <c r="BW7" i="11"/>
  <c r="BW6" i="11" s="1"/>
  <c r="AS7" i="11"/>
  <c r="AS6" i="11" s="1"/>
  <c r="BF7" i="11"/>
  <c r="BF6" i="11" s="1"/>
  <c r="AZ7" i="11"/>
  <c r="AZ6" i="11" s="1"/>
  <c r="BI7" i="11"/>
  <c r="BI6" i="11" s="1"/>
  <c r="CF7" i="11"/>
  <c r="CF6" i="11" s="1"/>
  <c r="BD7" i="11"/>
  <c r="BD6" i="11" s="1"/>
  <c r="BS7" i="11"/>
  <c r="BS6" i="11" s="1"/>
  <c r="AQ7" i="11"/>
  <c r="AQ6" i="11" s="1"/>
  <c r="BA7" i="11"/>
  <c r="BA6" i="11" s="1"/>
  <c r="CG7" i="11"/>
  <c r="CG6" i="11" s="1"/>
  <c r="CD7" i="11"/>
  <c r="CD6" i="11" s="1"/>
  <c r="BB7" i="11"/>
  <c r="BB6" i="11" s="1"/>
  <c r="AY7" i="11"/>
  <c r="AY6" i="11" s="1"/>
  <c r="BN7" i="11"/>
  <c r="BN6" i="11" s="1"/>
  <c r="CC7" i="11"/>
  <c r="CC6" i="11" s="1"/>
  <c r="AL7" i="11"/>
  <c r="AL6" i="11" s="1"/>
  <c r="BX7" i="11"/>
  <c r="BX6" i="11" s="1"/>
  <c r="AW7" i="11"/>
  <c r="AW6" i="11" s="1"/>
  <c r="CA7" i="11"/>
  <c r="CA6" i="11" s="1"/>
  <c r="BL7" i="11"/>
  <c r="BL6" i="11" s="1"/>
  <c r="BM7" i="11"/>
  <c r="BM6" i="11" s="1"/>
  <c r="CI7" i="11"/>
  <c r="CI6" i="11" s="1"/>
  <c r="BY7" i="11"/>
  <c r="BY6" i="11" s="1"/>
  <c r="BP7" i="11"/>
  <c r="BP6" i="11" s="1"/>
  <c r="CB7" i="11"/>
  <c r="CB6" i="11" s="1"/>
  <c r="BJ7" i="11"/>
  <c r="BJ6" i="11" s="1"/>
  <c r="BQ7" i="11"/>
  <c r="BQ6" i="11" s="1"/>
  <c r="BR7" i="11"/>
  <c r="BR6" i="11" s="1"/>
  <c r="BG7" i="11"/>
  <c r="BG6" i="11" s="1"/>
  <c r="AJ7" i="11"/>
  <c r="AJ6" i="11" s="1"/>
  <c r="BE7" i="11"/>
  <c r="BE6" i="11" s="1"/>
  <c r="BC7" i="11"/>
  <c r="BC6" i="11" s="1"/>
  <c r="AP7" i="11"/>
  <c r="AP6" i="11" s="1"/>
  <c r="AV7" i="11"/>
  <c r="AV6" i="11" s="1"/>
  <c r="AH7" i="11"/>
  <c r="AH6" i="11" s="1"/>
  <c r="AR7" i="11"/>
  <c r="AR6" i="11" s="1"/>
  <c r="AU7" i="11"/>
  <c r="AU6" i="11" s="1"/>
  <c r="AO7" i="11"/>
  <c r="AO6" i="11" s="1"/>
  <c r="AN7" i="11"/>
  <c r="AN6" i="11" s="1"/>
  <c r="AE7" i="11"/>
  <c r="AE6" i="11" s="1"/>
  <c r="X7" i="11"/>
  <c r="X6" i="11" s="1"/>
  <c r="U7" i="11"/>
  <c r="U6" i="11" s="1"/>
  <c r="AA7" i="11"/>
  <c r="AA6" i="11" s="1"/>
  <c r="AD7" i="11"/>
  <c r="AD6" i="11" s="1"/>
  <c r="S7" i="11"/>
  <c r="S6" i="11" s="1"/>
  <c r="AC7" i="11"/>
  <c r="AC6" i="11" s="1"/>
  <c r="AB7" i="11"/>
  <c r="AB6" i="11" s="1"/>
  <c r="T7" i="11"/>
  <c r="T6" i="11" s="1"/>
  <c r="Y7" i="11"/>
  <c r="Y6" i="11" s="1"/>
  <c r="Z7" i="11"/>
  <c r="Z6" i="11" s="1"/>
  <c r="V7" i="11"/>
  <c r="V6" i="11" s="1"/>
  <c r="W7" i="11"/>
  <c r="W6" i="11" s="1"/>
  <c r="N14" i="15" l="1" a="1"/>
  <c r="N14" i="15" s="1"/>
  <c r="P61" i="14"/>
  <c r="L61" i="14"/>
  <c r="N61" i="14" s="1"/>
  <c r="P60" i="14"/>
  <c r="L60" i="14"/>
  <c r="N60" i="14" s="1"/>
  <c r="N59" i="14"/>
  <c r="M59" i="14"/>
  <c r="O59" i="14"/>
  <c r="R59" i="14"/>
  <c r="P59" i="14"/>
  <c r="P72" i="14"/>
  <c r="P97" i="14"/>
  <c r="P105" i="14"/>
  <c r="P100" i="14"/>
  <c r="P101" i="14"/>
  <c r="P88" i="14"/>
  <c r="P80" i="14"/>
  <c r="L68" i="14"/>
  <c r="O68" i="14" s="1"/>
  <c r="P69" i="14"/>
  <c r="P73" i="14"/>
  <c r="P64" i="14"/>
  <c r="P93" i="14"/>
  <c r="P76" i="14"/>
  <c r="P96" i="14"/>
  <c r="P84" i="14"/>
  <c r="P81" i="14"/>
  <c r="P104" i="14"/>
  <c r="P85" i="14"/>
  <c r="P92" i="14"/>
  <c r="P77" i="14"/>
  <c r="P89" i="14"/>
  <c r="P65" i="14"/>
  <c r="P68" i="14"/>
  <c r="L65" i="14"/>
  <c r="N65" i="14" s="1"/>
  <c r="L84" i="14"/>
  <c r="M105" i="14"/>
  <c r="M101" i="14"/>
  <c r="M80" i="14"/>
  <c r="M84" i="14"/>
  <c r="M92" i="14"/>
  <c r="M100" i="14"/>
  <c r="M96" i="14"/>
  <c r="M97" i="14"/>
  <c r="M81" i="14"/>
  <c r="M85" i="14"/>
  <c r="M93" i="14"/>
  <c r="M88" i="14"/>
  <c r="M89" i="14"/>
  <c r="M104" i="14"/>
  <c r="M77" i="14"/>
  <c r="M76" i="14"/>
  <c r="M72" i="14"/>
  <c r="M73" i="14"/>
  <c r="L100" i="14"/>
  <c r="M68" i="14"/>
  <c r="M69" i="14"/>
  <c r="M65" i="14"/>
  <c r="M64" i="14"/>
  <c r="L97" i="14"/>
  <c r="L89" i="14"/>
  <c r="L104" i="14"/>
  <c r="L69" i="14"/>
  <c r="L64" i="14"/>
  <c r="L101" i="14"/>
  <c r="L80" i="14"/>
  <c r="L73" i="14"/>
  <c r="L81" i="14"/>
  <c r="L96" i="14"/>
  <c r="L105" i="14"/>
  <c r="L88" i="14"/>
  <c r="L85" i="14"/>
  <c r="L92" i="14"/>
  <c r="L77" i="14"/>
  <c r="L72" i="14"/>
  <c r="L93" i="14"/>
  <c r="L76" i="14"/>
  <c r="C17" i="15" a="1"/>
  <c r="C17" i="15" s="1"/>
  <c r="C18" i="15" s="1" a="1"/>
  <c r="C18" i="15" s="1"/>
  <c r="C19" i="15" s="1" a="1"/>
  <c r="C19" i="15" s="1"/>
  <c r="C20" i="15" s="1" a="1"/>
  <c r="C20" i="15" s="1"/>
  <c r="C21" i="15" s="1" a="1"/>
  <c r="C21" i="15" s="1"/>
  <c r="C22" i="15" s="1" a="1"/>
  <c r="C22" i="15" s="1"/>
  <c r="C23" i="15" s="1" a="1"/>
  <c r="C23" i="15" s="1"/>
  <c r="C24" i="15" s="1" a="1"/>
  <c r="C24" i="15" s="1"/>
  <c r="C25" i="15" s="1" a="1"/>
  <c r="C25" i="15" s="1"/>
  <c r="C26" i="15" s="1" a="1"/>
  <c r="C26" i="15" s="1"/>
  <c r="C27" i="15" s="1" a="1"/>
  <c r="C27" i="15" s="1"/>
  <c r="C28" i="15" s="1" a="1"/>
  <c r="C28" i="15" s="1"/>
  <c r="C29" i="15" s="1" a="1"/>
  <c r="C29" i="15" s="1"/>
  <c r="C30" i="15" s="1" a="1"/>
  <c r="C30" i="15" s="1"/>
  <c r="C31" i="15" s="1" a="1"/>
  <c r="C31" i="15" s="1"/>
  <c r="C32" i="15" s="1" a="1"/>
  <c r="C32" i="15" s="1"/>
  <c r="C33" i="15" s="1" a="1"/>
  <c r="C33" i="15" s="1"/>
  <c r="C34" i="15" s="1" a="1"/>
  <c r="C34" i="15" s="1"/>
  <c r="C35" i="15" s="1" a="1"/>
  <c r="C35" i="15" s="1"/>
  <c r="C36" i="15" s="1" a="1"/>
  <c r="C36" i="15" s="1"/>
  <c r="C37" i="15" s="1" a="1"/>
  <c r="C37" i="15" s="1"/>
  <c r="C38" i="15" s="1" a="1"/>
  <c r="C38" i="15" s="1"/>
  <c r="C39" i="15" s="1" a="1"/>
  <c r="C39" i="15" s="1"/>
  <c r="C40" i="15" s="1" a="1"/>
  <c r="C40" i="15" s="1"/>
  <c r="C41" i="15" s="1" a="1"/>
  <c r="C41" i="15" s="1"/>
  <c r="C42" i="15" s="1" a="1"/>
  <c r="C42" i="15" s="1"/>
  <c r="C43" i="15" s="1" a="1"/>
  <c r="C43" i="15" s="1"/>
  <c r="C44" i="15" s="1" a="1"/>
  <c r="C44" i="15" s="1"/>
  <c r="C45" i="15" s="1" a="1"/>
  <c r="C45" i="15" s="1"/>
  <c r="C46" i="15" s="1" a="1"/>
  <c r="C46" i="15" s="1"/>
  <c r="C47" i="15" s="1" a="1"/>
  <c r="C47" i="15" s="1"/>
  <c r="C48" i="15" s="1" a="1"/>
  <c r="C48" i="15" s="1"/>
  <c r="C49" i="15" s="1" a="1"/>
  <c r="C49" i="15" s="1"/>
  <c r="C50" i="15" s="1" a="1"/>
  <c r="C50" i="15" s="1"/>
  <c r="C51" i="15" s="1" a="1"/>
  <c r="C51" i="15" s="1"/>
  <c r="C52" i="15" s="1" a="1"/>
  <c r="C52" i="15" s="1"/>
  <c r="C53" i="15" s="1" a="1"/>
  <c r="C53" i="15" s="1"/>
  <c r="C54" i="15" s="1" a="1"/>
  <c r="C54" i="15" s="1"/>
  <c r="C55" i="15" s="1" a="1"/>
  <c r="C55" i="15" s="1"/>
  <c r="C56" i="15" s="1" a="1"/>
  <c r="C56" i="15" s="1"/>
  <c r="C57" i="15" s="1" a="1"/>
  <c r="C57" i="15" s="1"/>
  <c r="C58" i="15" s="1" a="1"/>
  <c r="C58" i="15" s="1"/>
  <c r="C59" i="15" s="1" a="1"/>
  <c r="C59" i="15" s="1"/>
  <c r="C60" i="15" s="1" a="1"/>
  <c r="C60" i="15" s="1"/>
  <c r="C61" i="15" s="1" a="1"/>
  <c r="C61" i="15" s="1"/>
  <c r="C62" i="15" s="1" a="1"/>
  <c r="C62" i="15" s="1"/>
  <c r="C63" i="15" s="1" a="1"/>
  <c r="C63" i="15" s="1"/>
  <c r="C64" i="15" s="1" a="1"/>
  <c r="C64" i="15" s="1"/>
  <c r="C65" i="15" s="1" a="1"/>
  <c r="C65" i="15" s="1"/>
  <c r="C66" i="15" s="1" a="1"/>
  <c r="C66" i="15" s="1"/>
  <c r="C67" i="15" s="1" a="1"/>
  <c r="C67" i="15" s="1"/>
  <c r="C68" i="15" s="1" a="1"/>
  <c r="C68" i="15" s="1"/>
  <c r="C69" i="15" s="1" a="1"/>
  <c r="C69" i="15" s="1"/>
  <c r="C70" i="15" s="1" a="1"/>
  <c r="C70" i="15" s="1"/>
  <c r="C71" i="15" s="1" a="1"/>
  <c r="C71" i="15" s="1"/>
  <c r="C72" i="15" s="1" a="1"/>
  <c r="C72" i="15" s="1"/>
  <c r="C73" i="15" s="1" a="1"/>
  <c r="C73" i="15" s="1"/>
  <c r="C74" i="15" s="1" a="1"/>
  <c r="C74" i="15" s="1"/>
  <c r="C75" i="15" s="1" a="1"/>
  <c r="C75" i="15" s="1"/>
  <c r="C76" i="15" s="1" a="1"/>
  <c r="C76" i="15" s="1"/>
  <c r="C77" i="15" s="1" a="1"/>
  <c r="C77" i="15" s="1"/>
  <c r="C78" i="15" s="1" a="1"/>
  <c r="C78" i="15" s="1"/>
  <c r="C79" i="15" s="1" a="1"/>
  <c r="C79" i="15" s="1"/>
  <c r="C80" i="15" s="1" a="1"/>
  <c r="C80" i="15" s="1"/>
  <c r="C81" i="15" s="1" a="1"/>
  <c r="C81" i="15" s="1"/>
  <c r="C82" i="15" s="1" a="1"/>
  <c r="C82" i="15" s="1"/>
  <c r="C83" i="15" s="1" a="1"/>
  <c r="C83" i="15" s="1"/>
  <c r="C84" i="15" s="1" a="1"/>
  <c r="C84" i="15" s="1"/>
  <c r="C85" i="15" s="1" a="1"/>
  <c r="C85" i="15" s="1"/>
  <c r="J16" i="15" a="1"/>
  <c r="J16" i="15" s="1"/>
  <c r="D14" i="15"/>
  <c r="I14" i="15" s="1" a="1"/>
  <c r="I14" i="15" s="1"/>
  <c r="M14" i="15" s="1" a="1"/>
  <c r="M14" i="15" s="1"/>
  <c r="AD13" i="15"/>
  <c r="Y13" i="15"/>
  <c r="Z13" i="15"/>
  <c r="AB13" i="15"/>
  <c r="AC13" i="15"/>
  <c r="AA13" i="15"/>
  <c r="U13" i="15"/>
  <c r="X13" i="15"/>
  <c r="V13" i="15"/>
  <c r="T13" i="15"/>
  <c r="W13" i="15"/>
  <c r="R13" i="15"/>
  <c r="S13" i="15"/>
  <c r="Q13" i="15"/>
  <c r="P13" i="15" a="1"/>
  <c r="P13" i="15" s="1"/>
  <c r="O13" i="15" a="1"/>
  <c r="O13" i="15" s="1"/>
  <c r="F14" i="15"/>
  <c r="G15" i="15" a="1"/>
  <c r="G15" i="15" s="1"/>
  <c r="H15" i="15"/>
  <c r="E15" i="15" a="1"/>
  <c r="E15" i="15" s="1"/>
  <c r="N15" i="15" s="1" a="1"/>
  <c r="N15" i="15" s="1"/>
  <c r="J15" i="15" a="1"/>
  <c r="J15" i="15" s="1"/>
  <c r="AQ9" i="11"/>
  <c r="AM22" i="11"/>
  <c r="AN22" i="11"/>
  <c r="AK22" i="11"/>
  <c r="AG70" i="11"/>
  <c r="AH70" i="11"/>
  <c r="AI70" i="11"/>
  <c r="AU5" i="11"/>
  <c r="AJ70" i="11"/>
  <c r="AO70" i="11"/>
  <c r="AI9" i="11"/>
  <c r="AO9" i="11"/>
  <c r="AR70" i="11"/>
  <c r="AG9" i="11"/>
  <c r="AN70" i="11"/>
  <c r="AH9" i="11"/>
  <c r="AP70" i="11"/>
  <c r="AQ70" i="11"/>
  <c r="AP9" i="11"/>
  <c r="AJ22" i="11"/>
  <c r="AL22" i="11"/>
  <c r="AK9" i="11"/>
  <c r="AK70" i="11"/>
  <c r="AL9" i="11"/>
  <c r="AS70" i="11"/>
  <c r="AS22" i="11"/>
  <c r="AH22" i="11"/>
  <c r="AP22" i="11"/>
  <c r="AL70" i="11"/>
  <c r="AS9" i="11"/>
  <c r="AN9" i="11"/>
  <c r="AM70" i="11"/>
  <c r="AR9" i="11"/>
  <c r="AJ9" i="11"/>
  <c r="AI22" i="11"/>
  <c r="AR22" i="11"/>
  <c r="AM9" i="11"/>
  <c r="AQ22" i="11"/>
  <c r="AG22" i="11"/>
  <c r="AO22" i="11"/>
  <c r="O61" i="14" l="1"/>
  <c r="R61" i="14"/>
  <c r="Q61" i="14"/>
  <c r="R60" i="14"/>
  <c r="O60" i="14"/>
  <c r="Q60" i="14"/>
  <c r="R68" i="14"/>
  <c r="Q68" i="14"/>
  <c r="N68" i="14"/>
  <c r="R85" i="14"/>
  <c r="Q85" i="14"/>
  <c r="Q88" i="14"/>
  <c r="R88" i="14"/>
  <c r="Q105" i="14"/>
  <c r="R105" i="14"/>
  <c r="Q96" i="14"/>
  <c r="R96" i="14"/>
  <c r="Q81" i="14"/>
  <c r="R81" i="14"/>
  <c r="Q73" i="14"/>
  <c r="R73" i="14"/>
  <c r="Q80" i="14"/>
  <c r="R80" i="14"/>
  <c r="R101" i="14"/>
  <c r="Q101" i="14"/>
  <c r="R65" i="14"/>
  <c r="O64" i="14"/>
  <c r="Q64" i="14"/>
  <c r="R64" i="14"/>
  <c r="Q65" i="14"/>
  <c r="R69" i="14"/>
  <c r="Q69" i="14"/>
  <c r="Q104" i="14"/>
  <c r="R104" i="14"/>
  <c r="R89" i="14"/>
  <c r="Q89" i="14"/>
  <c r="Q76" i="14"/>
  <c r="R76" i="14"/>
  <c r="Q77" i="14"/>
  <c r="R77" i="14"/>
  <c r="R97" i="14"/>
  <c r="Q97" i="14"/>
  <c r="Q93" i="14"/>
  <c r="R93" i="14"/>
  <c r="Q72" i="14"/>
  <c r="R72" i="14"/>
  <c r="Q100" i="14"/>
  <c r="R100" i="14"/>
  <c r="Q92" i="14"/>
  <c r="R92" i="14"/>
  <c r="O84" i="14"/>
  <c r="R84" i="14"/>
  <c r="Q84" i="14"/>
  <c r="N88" i="14"/>
  <c r="O88" i="14"/>
  <c r="N105" i="14"/>
  <c r="O105" i="14"/>
  <c r="N96" i="14"/>
  <c r="O96" i="14"/>
  <c r="O65" i="14"/>
  <c r="N81" i="14"/>
  <c r="O81" i="14"/>
  <c r="N73" i="14"/>
  <c r="O73" i="14"/>
  <c r="N80" i="14"/>
  <c r="O80" i="14"/>
  <c r="N101" i="14"/>
  <c r="O101" i="14"/>
  <c r="N69" i="14"/>
  <c r="O69" i="14"/>
  <c r="N104" i="14"/>
  <c r="O104" i="14"/>
  <c r="N89" i="14"/>
  <c r="O89" i="14"/>
  <c r="N76" i="14"/>
  <c r="O76" i="14"/>
  <c r="N93" i="14"/>
  <c r="O93" i="14"/>
  <c r="N97" i="14"/>
  <c r="O97" i="14"/>
  <c r="N72" i="14"/>
  <c r="O72" i="14"/>
  <c r="N100" i="14"/>
  <c r="O100" i="14"/>
  <c r="N77" i="14"/>
  <c r="O77" i="14"/>
  <c r="N84" i="14"/>
  <c r="N92" i="14"/>
  <c r="O92" i="14"/>
  <c r="N85" i="14"/>
  <c r="O85" i="14"/>
  <c r="N64" i="14"/>
  <c r="D15" i="15"/>
  <c r="AE13" i="15"/>
  <c r="O14" i="15" a="1"/>
  <c r="O14" i="15" s="1"/>
  <c r="AB14" i="15" s="1"/>
  <c r="K14" i="15" a="1"/>
  <c r="K14" i="15" s="1"/>
  <c r="L14" i="15" a="1"/>
  <c r="L14" i="15" s="1"/>
  <c r="F15" i="15"/>
  <c r="P14" i="15" a="1"/>
  <c r="P14" i="15" s="1"/>
  <c r="E16" i="15" a="1"/>
  <c r="E16" i="15" s="1"/>
  <c r="G16" i="15" a="1"/>
  <c r="G16" i="15" s="1"/>
  <c r="H16" i="15"/>
  <c r="AV70" i="11"/>
  <c r="BI5" i="11"/>
  <c r="BD9" i="11"/>
  <c r="BG22" i="11"/>
  <c r="BE9" i="11"/>
  <c r="BF9" i="11"/>
  <c r="BC9" i="11"/>
  <c r="BG9" i="11"/>
  <c r="BD22" i="11"/>
  <c r="AZ70" i="11"/>
  <c r="AX22" i="11"/>
  <c r="BA9" i="11"/>
  <c r="AZ22" i="11"/>
  <c r="AX9" i="11"/>
  <c r="BC22" i="11"/>
  <c r="BA70" i="11"/>
  <c r="BB22" i="11"/>
  <c r="AY22" i="11"/>
  <c r="AW9" i="11"/>
  <c r="BB9" i="11"/>
  <c r="BE70" i="11"/>
  <c r="BF70" i="11"/>
  <c r="AV9" i="11"/>
  <c r="AU70" i="11"/>
  <c r="AV22" i="11"/>
  <c r="BD70" i="11"/>
  <c r="BC70" i="11"/>
  <c r="AY70" i="11"/>
  <c r="BF22" i="11"/>
  <c r="AZ9" i="11"/>
  <c r="AW22" i="11"/>
  <c r="AU9" i="11"/>
  <c r="BE22" i="11"/>
  <c r="BG70" i="11"/>
  <c r="BA22" i="11"/>
  <c r="AX70" i="11"/>
  <c r="AY9" i="11"/>
  <c r="AW70" i="11"/>
  <c r="BB70" i="11"/>
  <c r="AU22" i="11"/>
  <c r="E7" i="11"/>
  <c r="E6" i="11" s="1"/>
  <c r="M20" i="11" a="1"/>
  <c r="N16" i="15" l="1" a="1"/>
  <c r="N16" i="15" s="1"/>
  <c r="D16" i="15"/>
  <c r="Z14" i="15"/>
  <c r="W14" i="15"/>
  <c r="Q14" i="15"/>
  <c r="U14" i="15"/>
  <c r="S14" i="15"/>
  <c r="P15" i="15" a="1"/>
  <c r="P15" i="15" s="1"/>
  <c r="O15" i="15" a="1"/>
  <c r="O15" i="15" s="1"/>
  <c r="AB15" i="15" s="1"/>
  <c r="F16" i="15"/>
  <c r="G17" i="15" a="1"/>
  <c r="G17" i="15" s="1"/>
  <c r="H17" i="15"/>
  <c r="E17" i="15" a="1"/>
  <c r="E17" i="15" s="1"/>
  <c r="J17" i="15" a="1"/>
  <c r="J17" i="15" s="1"/>
  <c r="I15" i="15" a="1"/>
  <c r="I15" i="15" s="1"/>
  <c r="BW5" i="11"/>
  <c r="BI9" i="11"/>
  <c r="BJ22" i="11"/>
  <c r="BK22" i="11"/>
  <c r="BO70" i="11"/>
  <c r="BL22" i="11"/>
  <c r="BT22" i="11"/>
  <c r="BP70" i="11"/>
  <c r="BQ22" i="11"/>
  <c r="BI22" i="11"/>
  <c r="BR9" i="11"/>
  <c r="BU9" i="11"/>
  <c r="BR70" i="11"/>
  <c r="BP22" i="11"/>
  <c r="BN9" i="11"/>
  <c r="BU22" i="11"/>
  <c r="BS9" i="11"/>
  <c r="BM9" i="11"/>
  <c r="BU70" i="11"/>
  <c r="BS22" i="11"/>
  <c r="BQ9" i="11"/>
  <c r="BM22" i="11"/>
  <c r="BQ70" i="11"/>
  <c r="BT9" i="11"/>
  <c r="BR22" i="11"/>
  <c r="BP9" i="11"/>
  <c r="BL70" i="11"/>
  <c r="BJ70" i="11"/>
  <c r="BM70" i="11"/>
  <c r="BK9" i="11"/>
  <c r="BT70" i="11"/>
  <c r="BO9" i="11"/>
  <c r="BO22" i="11"/>
  <c r="BN70" i="11"/>
  <c r="BK70" i="11"/>
  <c r="BI70" i="11"/>
  <c r="BS70" i="11"/>
  <c r="BL9" i="11"/>
  <c r="BN22" i="11"/>
  <c r="BJ9" i="11"/>
  <c r="M20" i="11"/>
  <c r="H20" i="11" a="1"/>
  <c r="M7" i="11" l="1"/>
  <c r="M6" i="11" s="1"/>
  <c r="K91" i="14" a="1"/>
  <c r="K91" i="14" s="1"/>
  <c r="P91" i="14" s="1"/>
  <c r="D17" i="15"/>
  <c r="Z15" i="15"/>
  <c r="Q15" i="15"/>
  <c r="W15" i="15"/>
  <c r="U15" i="15"/>
  <c r="S15" i="15"/>
  <c r="P16" i="15" a="1"/>
  <c r="P16" i="15" s="1"/>
  <c r="O16" i="15" a="1"/>
  <c r="O16" i="15" s="1"/>
  <c r="L15" i="15" a="1"/>
  <c r="L15" i="15" s="1"/>
  <c r="K15" i="15" a="1"/>
  <c r="K15" i="15" s="1"/>
  <c r="M15" i="15" a="1"/>
  <c r="M15" i="15" s="1"/>
  <c r="I16" i="15" a="1"/>
  <c r="I16" i="15" s="1"/>
  <c r="F17" i="15"/>
  <c r="H18" i="15"/>
  <c r="G18" i="15" a="1"/>
  <c r="G18" i="15" s="1"/>
  <c r="E18" i="15" a="1"/>
  <c r="E18" i="15" s="1"/>
  <c r="N18" i="15" s="1" a="1"/>
  <c r="N18" i="15" s="1"/>
  <c r="J18" i="15" a="1"/>
  <c r="J18" i="15" s="1"/>
  <c r="BX22" i="11"/>
  <c r="BY22" i="11"/>
  <c r="BZ70" i="11"/>
  <c r="CA9" i="11"/>
  <c r="CC70" i="11"/>
  <c r="CB9" i="11"/>
  <c r="CA70" i="11"/>
  <c r="CH70" i="11"/>
  <c r="BX9" i="11"/>
  <c r="CG9" i="11"/>
  <c r="BZ22" i="11"/>
  <c r="CI22" i="11"/>
  <c r="CC22" i="11"/>
  <c r="CH9" i="11"/>
  <c r="CF9" i="11"/>
  <c r="BW22" i="11"/>
  <c r="BW70" i="11"/>
  <c r="BY70" i="11"/>
  <c r="BX70" i="11"/>
  <c r="CB70" i="11"/>
  <c r="CD9" i="11"/>
  <c r="BY9" i="11"/>
  <c r="CE9" i="11"/>
  <c r="CA22" i="11"/>
  <c r="CE70" i="11"/>
  <c r="BZ9" i="11"/>
  <c r="CD22" i="11"/>
  <c r="CG22" i="11"/>
  <c r="CB22" i="11"/>
  <c r="CF70" i="11"/>
  <c r="CF22" i="11"/>
  <c r="CC9" i="11"/>
  <c r="CE22" i="11"/>
  <c r="CI70" i="11"/>
  <c r="CG70" i="11"/>
  <c r="CH22" i="11"/>
  <c r="CI9" i="11"/>
  <c r="BW9" i="11"/>
  <c r="CD70" i="11"/>
  <c r="H20" i="11"/>
  <c r="N20" i="11" a="1"/>
  <c r="L91" i="14" l="1"/>
  <c r="M91" i="14"/>
  <c r="H7" i="11"/>
  <c r="H6" i="11" s="1"/>
  <c r="K71" i="14" a="1"/>
  <c r="K71" i="14" s="1"/>
  <c r="P71" i="14" s="1"/>
  <c r="D18" i="15"/>
  <c r="I18" i="15" s="1" a="1"/>
  <c r="I18" i="15" s="1"/>
  <c r="K18" i="15" s="1" a="1"/>
  <c r="K18" i="15" s="1"/>
  <c r="Z16" i="15"/>
  <c r="AB16" i="15"/>
  <c r="Q16" i="15"/>
  <c r="W16" i="15"/>
  <c r="U16" i="15"/>
  <c r="S16" i="15"/>
  <c r="P17" i="15" a="1"/>
  <c r="P17" i="15" s="1"/>
  <c r="O17" i="15" a="1"/>
  <c r="O17" i="15" s="1"/>
  <c r="L16" i="15" a="1"/>
  <c r="L16" i="15" s="1"/>
  <c r="K16" i="15" a="1"/>
  <c r="K16" i="15" s="1"/>
  <c r="M16" i="15" a="1"/>
  <c r="M16" i="15" s="1"/>
  <c r="F18" i="15"/>
  <c r="H19" i="15"/>
  <c r="G19" i="15" a="1"/>
  <c r="G19" i="15" s="1"/>
  <c r="E19" i="15" a="1"/>
  <c r="E19" i="15" s="1"/>
  <c r="D19" i="15" s="1"/>
  <c r="J19" i="15" a="1"/>
  <c r="J19" i="15" s="1"/>
  <c r="I17" i="15" a="1"/>
  <c r="I17" i="15" s="1"/>
  <c r="N20" i="11"/>
  <c r="L20" i="11" a="1"/>
  <c r="Q91" i="14" l="1"/>
  <c r="R91" i="14"/>
  <c r="N91" i="14"/>
  <c r="O91" i="14"/>
  <c r="L71" i="14"/>
  <c r="M71" i="14"/>
  <c r="N7" i="11"/>
  <c r="N6" i="11" s="1"/>
  <c r="K95" i="14" a="1"/>
  <c r="K95" i="14" s="1"/>
  <c r="P95" i="14" s="1"/>
  <c r="M18" i="15" a="1"/>
  <c r="M18" i="15" s="1"/>
  <c r="L18" i="15" a="1"/>
  <c r="L18" i="15" s="1"/>
  <c r="U17" i="15"/>
  <c r="Z17" i="15"/>
  <c r="Q17" i="15"/>
  <c r="W17" i="15"/>
  <c r="AB17" i="15"/>
  <c r="S17" i="15"/>
  <c r="O18" i="15" a="1"/>
  <c r="O18" i="15" s="1"/>
  <c r="AB18" i="15" s="1"/>
  <c r="P18" i="15" a="1"/>
  <c r="P18" i="15" s="1"/>
  <c r="M17" i="15" a="1"/>
  <c r="M17" i="15" s="1"/>
  <c r="L17" i="15" a="1"/>
  <c r="L17" i="15" s="1"/>
  <c r="K17" i="15" a="1"/>
  <c r="K17" i="15" s="1"/>
  <c r="G20" i="15" a="1"/>
  <c r="G20" i="15" s="1"/>
  <c r="E20" i="15" a="1"/>
  <c r="E20" i="15" s="1"/>
  <c r="H20" i="15"/>
  <c r="J20" i="15" a="1"/>
  <c r="J20" i="15" s="1"/>
  <c r="I19" i="15" a="1"/>
  <c r="I19" i="15" s="1"/>
  <c r="L19" i="15" s="1" a="1"/>
  <c r="L19" i="15" s="1"/>
  <c r="F19" i="15"/>
  <c r="L20" i="11"/>
  <c r="V16" i="15"/>
  <c r="V15" i="15"/>
  <c r="R14" i="15"/>
  <c r="T14" i="15"/>
  <c r="V14" i="15"/>
  <c r="T16" i="15"/>
  <c r="T15" i="15"/>
  <c r="R16" i="15"/>
  <c r="K20" i="11" a="1"/>
  <c r="R15" i="15"/>
  <c r="N20" i="15" l="1" a="1"/>
  <c r="N20" i="15" s="1"/>
  <c r="Q71" i="14"/>
  <c r="R71" i="14"/>
  <c r="N71" i="14"/>
  <c r="O71" i="14"/>
  <c r="L95" i="14"/>
  <c r="M95" i="14"/>
  <c r="L7" i="11"/>
  <c r="L6" i="11" s="1"/>
  <c r="K87" i="14" a="1"/>
  <c r="K87" i="14" s="1"/>
  <c r="P87" i="14" s="1"/>
  <c r="D20" i="15"/>
  <c r="I20" i="15" s="1" a="1"/>
  <c r="I20" i="15" s="1"/>
  <c r="L20" i="15" s="1" a="1"/>
  <c r="L20" i="15" s="1"/>
  <c r="M19" i="15" a="1"/>
  <c r="M19" i="15" s="1"/>
  <c r="K19" i="15" a="1"/>
  <c r="K19" i="15" s="1"/>
  <c r="Q18" i="15"/>
  <c r="U18" i="15"/>
  <c r="S18" i="15"/>
  <c r="Z18" i="15"/>
  <c r="W18" i="15"/>
  <c r="O19" i="15" a="1"/>
  <c r="O19" i="15" s="1"/>
  <c r="P19" i="15" a="1"/>
  <c r="P19" i="15" s="1"/>
  <c r="F20" i="15"/>
  <c r="G21" i="15" a="1"/>
  <c r="G21" i="15" s="1"/>
  <c r="E21" i="15" a="1"/>
  <c r="E21" i="15" s="1"/>
  <c r="H21" i="15"/>
  <c r="J21" i="15" a="1"/>
  <c r="J21" i="15" s="1"/>
  <c r="K20" i="11"/>
  <c r="T17" i="15"/>
  <c r="R17" i="15"/>
  <c r="V17" i="15"/>
  <c r="R18" i="15"/>
  <c r="T18" i="15"/>
  <c r="V18" i="15"/>
  <c r="J20" i="11" a="1"/>
  <c r="N21" i="15" l="1" a="1"/>
  <c r="N21" i="15" s="1"/>
  <c r="Q95" i="14"/>
  <c r="R95" i="14"/>
  <c r="N95" i="14"/>
  <c r="O95" i="14"/>
  <c r="L87" i="14"/>
  <c r="M87" i="14"/>
  <c r="K7" i="11"/>
  <c r="K6" i="11" s="1"/>
  <c r="K83" i="14" a="1"/>
  <c r="K83" i="14" s="1"/>
  <c r="P83" i="14" s="1"/>
  <c r="D21" i="15"/>
  <c r="I21" i="15" s="1" a="1"/>
  <c r="I21" i="15" s="1"/>
  <c r="K21" i="15" s="1" a="1"/>
  <c r="K21" i="15" s="1"/>
  <c r="S19" i="15"/>
  <c r="U19" i="15"/>
  <c r="Q19" i="15"/>
  <c r="W19" i="15"/>
  <c r="AB19" i="15"/>
  <c r="Z19" i="15"/>
  <c r="O20" i="15" a="1"/>
  <c r="O20" i="15" s="1"/>
  <c r="AB20" i="15" s="1"/>
  <c r="K20" i="15" a="1"/>
  <c r="K20" i="15" s="1"/>
  <c r="M20" i="15" a="1"/>
  <c r="M20" i="15" s="1"/>
  <c r="F21" i="15"/>
  <c r="G22" i="15" a="1"/>
  <c r="G22" i="15" s="1"/>
  <c r="E22" i="15" a="1"/>
  <c r="E22" i="15" s="1"/>
  <c r="H22" i="15"/>
  <c r="J22" i="15" a="1"/>
  <c r="J22" i="15" s="1"/>
  <c r="J20" i="11"/>
  <c r="T19" i="15"/>
  <c r="R19" i="15"/>
  <c r="V19" i="15"/>
  <c r="I20" i="11" a="1"/>
  <c r="N22" i="15" l="1" a="1"/>
  <c r="N22" i="15" s="1"/>
  <c r="Q87" i="14"/>
  <c r="R87" i="14"/>
  <c r="N87" i="14"/>
  <c r="O87" i="14"/>
  <c r="L83" i="14"/>
  <c r="M83" i="14"/>
  <c r="J7" i="11"/>
  <c r="J6" i="11" s="1"/>
  <c r="K79" i="14" a="1"/>
  <c r="K79" i="14" s="1"/>
  <c r="P79" i="14" s="1"/>
  <c r="D22" i="15"/>
  <c r="I22" i="15" s="1" a="1"/>
  <c r="I22" i="15" s="1"/>
  <c r="L22" i="15" s="1" a="1"/>
  <c r="L22" i="15" s="1"/>
  <c r="O21" i="15" a="1"/>
  <c r="O21" i="15" s="1"/>
  <c r="AB21" i="15" s="1"/>
  <c r="L21" i="15" a="1"/>
  <c r="L21" i="15" s="1"/>
  <c r="M21" i="15" a="1"/>
  <c r="M21" i="15" s="1"/>
  <c r="H23" i="15"/>
  <c r="E23" i="15" a="1"/>
  <c r="E23" i="15" s="1"/>
  <c r="G23" i="15" a="1"/>
  <c r="G23" i="15" s="1"/>
  <c r="J23" i="15" a="1"/>
  <c r="J23" i="15" s="1"/>
  <c r="F22" i="15"/>
  <c r="I20" i="11"/>
  <c r="O20" i="11" a="1"/>
  <c r="N23" i="15" l="1" a="1"/>
  <c r="N23" i="15" s="1"/>
  <c r="Q83" i="14"/>
  <c r="R83" i="14"/>
  <c r="N83" i="14"/>
  <c r="O83" i="14"/>
  <c r="L79" i="14"/>
  <c r="M79" i="14"/>
  <c r="I7" i="11"/>
  <c r="I6" i="11" s="1"/>
  <c r="K75" i="14" a="1"/>
  <c r="K75" i="14" s="1"/>
  <c r="P75" i="14" s="1"/>
  <c r="D23" i="15"/>
  <c r="I23" i="15" s="1" a="1"/>
  <c r="I23" i="15" s="1"/>
  <c r="K23" i="15" s="1" a="1"/>
  <c r="K23" i="15" s="1"/>
  <c r="O22" i="15" a="1"/>
  <c r="O22" i="15" s="1"/>
  <c r="AB22" i="15" s="1"/>
  <c r="M22" i="15" a="1"/>
  <c r="M22" i="15" s="1"/>
  <c r="K22" i="15" a="1"/>
  <c r="K22" i="15" s="1"/>
  <c r="F23" i="15"/>
  <c r="H24" i="15"/>
  <c r="E24" i="15" a="1"/>
  <c r="E24" i="15" s="1"/>
  <c r="G24" i="15" a="1"/>
  <c r="G24" i="15" s="1"/>
  <c r="J24" i="15" a="1"/>
  <c r="J24" i="15" s="1"/>
  <c r="O20" i="11"/>
  <c r="G20" i="11" a="1"/>
  <c r="N24" i="15" l="1" a="1"/>
  <c r="N24" i="15" s="1"/>
  <c r="Q79" i="14"/>
  <c r="R79" i="14"/>
  <c r="N79" i="14"/>
  <c r="O79" i="14"/>
  <c r="L75" i="14"/>
  <c r="M75" i="14"/>
  <c r="O7" i="11"/>
  <c r="O6" i="11" s="1"/>
  <c r="K99" i="14" a="1"/>
  <c r="K99" i="14" s="1"/>
  <c r="P99" i="14" s="1"/>
  <c r="D24" i="15"/>
  <c r="I24" i="15" s="1" a="1"/>
  <c r="I24" i="15" s="1"/>
  <c r="M24" i="15" s="1" a="1"/>
  <c r="M24" i="15" s="1"/>
  <c r="O23" i="15" a="1"/>
  <c r="O23" i="15" s="1"/>
  <c r="M23" i="15" a="1"/>
  <c r="M23" i="15" s="1"/>
  <c r="L23" i="15" a="1"/>
  <c r="L23" i="15" s="1"/>
  <c r="E25" i="15" a="1"/>
  <c r="E25" i="15" s="1"/>
  <c r="H25" i="15"/>
  <c r="G25" i="15" a="1"/>
  <c r="G25" i="15" s="1"/>
  <c r="J25" i="15" a="1"/>
  <c r="J25" i="15" s="1"/>
  <c r="F24" i="15"/>
  <c r="G20" i="11"/>
  <c r="P20" i="11" a="1"/>
  <c r="N25" i="15" l="1" a="1"/>
  <c r="N25" i="15" s="1"/>
  <c r="Q75" i="14"/>
  <c r="R75" i="14"/>
  <c r="N75" i="14"/>
  <c r="O75" i="14"/>
  <c r="L99" i="14"/>
  <c r="M99" i="14"/>
  <c r="G7" i="11"/>
  <c r="G6" i="11" s="1"/>
  <c r="K67" i="14" a="1"/>
  <c r="K67" i="14" s="1"/>
  <c r="P67" i="14" s="1"/>
  <c r="D25" i="15"/>
  <c r="I25" i="15" s="1" a="1"/>
  <c r="I25" i="15" s="1"/>
  <c r="M25" i="15" s="1" a="1"/>
  <c r="M25" i="15" s="1"/>
  <c r="AB23" i="15"/>
  <c r="O24" i="15" a="1"/>
  <c r="O24" i="15" s="1"/>
  <c r="AB24" i="15" s="1"/>
  <c r="K24" i="15" a="1"/>
  <c r="K24" i="15" s="1"/>
  <c r="L24" i="15" a="1"/>
  <c r="L24" i="15" s="1"/>
  <c r="F25" i="15"/>
  <c r="G26" i="15" a="1"/>
  <c r="G26" i="15" s="1"/>
  <c r="E26" i="15" a="1"/>
  <c r="E26" i="15" s="1"/>
  <c r="H26" i="15"/>
  <c r="J26" i="15" a="1"/>
  <c r="J26" i="15" s="1"/>
  <c r="P20" i="11"/>
  <c r="N17" i="15" s="1" a="1"/>
  <c r="N17" i="15" s="1"/>
  <c r="F20" i="11" a="1"/>
  <c r="N26" i="15" l="1" a="1"/>
  <c r="N26" i="15" s="1"/>
  <c r="Q99" i="14"/>
  <c r="R99" i="14"/>
  <c r="N99" i="14"/>
  <c r="O99" i="14"/>
  <c r="L67" i="14"/>
  <c r="M67" i="14"/>
  <c r="K103" i="14" a="1"/>
  <c r="K103" i="14" s="1"/>
  <c r="P103" i="14" s="1"/>
  <c r="D26" i="15"/>
  <c r="I26" i="15" s="1" a="1"/>
  <c r="I26" i="15" s="1"/>
  <c r="M26" i="15" s="1" a="1"/>
  <c r="M26" i="15" s="1"/>
  <c r="P7" i="11"/>
  <c r="O25" i="15" a="1"/>
  <c r="O25" i="15" s="1"/>
  <c r="K25" i="15" a="1"/>
  <c r="K25" i="15" s="1"/>
  <c r="L25" i="15" a="1"/>
  <c r="L25" i="15" s="1"/>
  <c r="F26" i="15"/>
  <c r="G27" i="15" a="1"/>
  <c r="G27" i="15" s="1"/>
  <c r="E27" i="15" a="1"/>
  <c r="E27" i="15" s="1"/>
  <c r="H27" i="15"/>
  <c r="J27" i="15" a="1"/>
  <c r="J27" i="15" s="1"/>
  <c r="F20" i="11"/>
  <c r="Q20" i="11" a="1"/>
  <c r="N27" i="15" l="1" a="1"/>
  <c r="N27" i="15" s="1"/>
  <c r="O67" i="14"/>
  <c r="Q67" i="14"/>
  <c r="R67" i="14"/>
  <c r="N67" i="14"/>
  <c r="L103" i="14"/>
  <c r="M103" i="14"/>
  <c r="F7" i="11"/>
  <c r="F6" i="11" s="1"/>
  <c r="K63" i="14" a="1"/>
  <c r="K63" i="14" s="1"/>
  <c r="P63" i="14" s="1"/>
  <c r="P6" i="11"/>
  <c r="D27" i="15"/>
  <c r="I27" i="15" s="1" a="1"/>
  <c r="I27" i="15" s="1"/>
  <c r="L27" i="15" s="1" a="1"/>
  <c r="L27" i="15" s="1"/>
  <c r="L26" i="15" a="1"/>
  <c r="L26" i="15" s="1"/>
  <c r="K26" i="15" a="1"/>
  <c r="K26" i="15" s="1"/>
  <c r="AB25" i="15"/>
  <c r="O26" i="15" a="1"/>
  <c r="O26" i="15" s="1"/>
  <c r="F27" i="15"/>
  <c r="E28" i="15" a="1"/>
  <c r="E28" i="15" s="1"/>
  <c r="H28" i="15"/>
  <c r="G28" i="15" a="1"/>
  <c r="G28" i="15" s="1"/>
  <c r="J28" i="15" a="1"/>
  <c r="J28" i="15" s="1"/>
  <c r="Q20" i="11"/>
  <c r="N19" i="15" s="1" a="1"/>
  <c r="N19" i="15" s="1"/>
  <c r="N28" i="15" l="1" a="1"/>
  <c r="N28" i="15" s="1"/>
  <c r="Q103" i="14"/>
  <c r="R103" i="14"/>
  <c r="N103" i="14"/>
  <c r="O103" i="14"/>
  <c r="L63" i="14"/>
  <c r="M63" i="14"/>
  <c r="D28" i="15"/>
  <c r="I28" i="15" s="1" a="1"/>
  <c r="I28" i="15" s="1"/>
  <c r="L28" i="15" s="1" a="1"/>
  <c r="L28" i="15" s="1"/>
  <c r="M27" i="15" a="1"/>
  <c r="M27" i="15" s="1"/>
  <c r="K27" i="15" a="1"/>
  <c r="K27" i="15" s="1"/>
  <c r="AB26" i="15"/>
  <c r="O27" i="15" a="1"/>
  <c r="O27" i="15" s="1"/>
  <c r="H29" i="15"/>
  <c r="E29" i="15" a="1"/>
  <c r="E29" i="15" s="1"/>
  <c r="G29" i="15" a="1"/>
  <c r="G29" i="15" s="1"/>
  <c r="J29" i="15" a="1"/>
  <c r="J29" i="15" s="1"/>
  <c r="F28" i="15"/>
  <c r="Q7" i="11"/>
  <c r="Q6" i="11" s="1"/>
  <c r="X19" i="15"/>
  <c r="X17" i="15"/>
  <c r="X18" i="15"/>
  <c r="X16" i="15"/>
  <c r="X14" i="15"/>
  <c r="X15" i="15"/>
  <c r="N29" i="15" l="1" a="1"/>
  <c r="N29" i="15" s="1"/>
  <c r="O63" i="14"/>
  <c r="R63" i="14"/>
  <c r="Q63" i="14"/>
  <c r="N63" i="14"/>
  <c r="Y19" i="15"/>
  <c r="D29" i="15"/>
  <c r="I29" i="15" s="1" a="1"/>
  <c r="I29" i="15" s="1"/>
  <c r="K29" i="15" s="1" a="1"/>
  <c r="K29" i="15" s="1"/>
  <c r="Y18" i="15"/>
  <c r="Y16" i="15"/>
  <c r="Y15" i="15"/>
  <c r="Y14" i="15"/>
  <c r="Y17" i="15"/>
  <c r="AB27" i="15"/>
  <c r="O28" i="15" a="1"/>
  <c r="O28" i="15" s="1"/>
  <c r="AB28" i="15" s="1"/>
  <c r="M28" i="15" a="1"/>
  <c r="M28" i="15" s="1"/>
  <c r="K28" i="15" a="1"/>
  <c r="K28" i="15" s="1"/>
  <c r="F29" i="15"/>
  <c r="H30" i="15"/>
  <c r="E30" i="15" a="1"/>
  <c r="E30" i="15" s="1"/>
  <c r="N30" i="15" s="1" a="1"/>
  <c r="N30" i="15" s="1"/>
  <c r="G30" i="15" a="1"/>
  <c r="G30" i="15" s="1"/>
  <c r="J30" i="15" a="1"/>
  <c r="J30" i="15" s="1"/>
  <c r="AA19" i="15"/>
  <c r="AA18" i="15"/>
  <c r="AA16" i="15"/>
  <c r="AA15" i="15"/>
  <c r="AA14" i="15"/>
  <c r="D30" i="15" l="1"/>
  <c r="O29" i="15" a="1"/>
  <c r="O29" i="15" s="1"/>
  <c r="L29" i="15" a="1"/>
  <c r="L29" i="15" s="1"/>
  <c r="M29" i="15" a="1"/>
  <c r="M29" i="15" s="1"/>
  <c r="F30" i="15"/>
  <c r="H31" i="15"/>
  <c r="E31" i="15" a="1"/>
  <c r="E31" i="15" s="1"/>
  <c r="N31" i="15" s="1" a="1"/>
  <c r="N31" i="15" s="1"/>
  <c r="G31" i="15" a="1"/>
  <c r="G31" i="15" s="1"/>
  <c r="J31" i="15" a="1"/>
  <c r="J31" i="15" s="1"/>
  <c r="AC19" i="15"/>
  <c r="AA17" i="15"/>
  <c r="AC18" i="15"/>
  <c r="AC14" i="15"/>
  <c r="AC15" i="15"/>
  <c r="AC16" i="15"/>
  <c r="AD16" i="15" l="1"/>
  <c r="AD15" i="15"/>
  <c r="AD14" i="15"/>
  <c r="D31" i="15"/>
  <c r="I31" i="15" s="1" a="1"/>
  <c r="I31" i="15" s="1"/>
  <c r="L31" i="15" s="1" a="1"/>
  <c r="L31" i="15" s="1"/>
  <c r="AD19" i="15"/>
  <c r="I30" i="15" a="1"/>
  <c r="I30" i="15" s="1"/>
  <c r="L30" i="15" s="1" a="1"/>
  <c r="L30" i="15" s="1"/>
  <c r="AD18" i="15"/>
  <c r="AB29" i="15"/>
  <c r="O30" i="15" a="1"/>
  <c r="O30" i="15" s="1"/>
  <c r="F31" i="15"/>
  <c r="G32" i="15" a="1"/>
  <c r="G32" i="15" s="1"/>
  <c r="H32" i="15"/>
  <c r="E32" i="15" a="1"/>
  <c r="E32" i="15" s="1"/>
  <c r="J32" i="15" a="1"/>
  <c r="J32" i="15" s="1"/>
  <c r="AC17" i="15"/>
  <c r="N32" i="15" l="1" a="1"/>
  <c r="N32" i="15" s="1"/>
  <c r="H41" i="14" a="1"/>
  <c r="H41" i="14" s="1"/>
  <c r="G41" i="14" a="1"/>
  <c r="G41" i="14" s="1"/>
  <c r="F41" i="14" a="1"/>
  <c r="F41" i="14" s="1"/>
  <c r="H39" i="14" a="1"/>
  <c r="H39" i="14" s="1"/>
  <c r="G39" i="14" a="1"/>
  <c r="G39" i="14" s="1"/>
  <c r="F39" i="14" a="1"/>
  <c r="F39" i="14" s="1"/>
  <c r="H40" i="14" a="1"/>
  <c r="H40" i="14" s="1"/>
  <c r="G40" i="14" a="1"/>
  <c r="G40" i="14" s="1"/>
  <c r="F40" i="14" a="1"/>
  <c r="F40" i="14" s="1"/>
  <c r="D32" i="15"/>
  <c r="I32" i="15" s="1" a="1"/>
  <c r="I32" i="15" s="1"/>
  <c r="M32" i="15" s="1" a="1"/>
  <c r="M32" i="15" s="1"/>
  <c r="K30" i="15" a="1"/>
  <c r="K30" i="15" s="1"/>
  <c r="M30" i="15" a="1"/>
  <c r="M30" i="15" s="1"/>
  <c r="AD17" i="15"/>
  <c r="K31" i="15" a="1"/>
  <c r="K31" i="15" s="1"/>
  <c r="M31" i="15" a="1"/>
  <c r="M31" i="15" s="1"/>
  <c r="AB30" i="15"/>
  <c r="O31" i="15" a="1"/>
  <c r="O31" i="15" s="1"/>
  <c r="AB31" i="15" s="1"/>
  <c r="F32" i="15"/>
  <c r="H33" i="15"/>
  <c r="E33" i="15" a="1"/>
  <c r="E33" i="15" s="1"/>
  <c r="G33" i="15" a="1"/>
  <c r="G33" i="15" s="1"/>
  <c r="J33" i="15" a="1"/>
  <c r="J33" i="15" s="1"/>
  <c r="N33" i="15" l="1" a="1"/>
  <c r="N33" i="15" s="1"/>
  <c r="AR18" i="15"/>
  <c r="AR17" i="15"/>
  <c r="AR16" i="15"/>
  <c r="E40" i="14" a="1"/>
  <c r="E40" i="14" s="1"/>
  <c r="G42" i="14" a="1"/>
  <c r="G42" i="14" s="1"/>
  <c r="E39" i="14" a="1"/>
  <c r="E39" i="14" s="1"/>
  <c r="F45" i="14" a="1"/>
  <c r="F45" i="14" s="1"/>
  <c r="E41" i="14" a="1"/>
  <c r="E41" i="14" s="1"/>
  <c r="G43" i="14" a="1"/>
  <c r="G43" i="14" s="1"/>
  <c r="H45" i="14" a="1"/>
  <c r="H45" i="14" s="1"/>
  <c r="G45" i="14" a="1"/>
  <c r="G45" i="14" s="1"/>
  <c r="F42" i="14" a="1"/>
  <c r="F42" i="14" s="1"/>
  <c r="H42" i="14" a="1"/>
  <c r="H42" i="14" s="1"/>
  <c r="H43" i="14" a="1"/>
  <c r="H43" i="14" s="1"/>
  <c r="F43" i="14" a="1"/>
  <c r="F43" i="14" s="1"/>
  <c r="D33" i="15"/>
  <c r="I33" i="15" s="1" a="1"/>
  <c r="I33" i="15" s="1"/>
  <c r="M33" i="15" s="1" a="1"/>
  <c r="M33" i="15" s="1"/>
  <c r="K32" i="15" a="1"/>
  <c r="K32" i="15" s="1"/>
  <c r="L32" i="15" a="1"/>
  <c r="L32" i="15" s="1"/>
  <c r="O32" i="15" a="1"/>
  <c r="O32" i="15" s="1"/>
  <c r="E34" i="15" a="1"/>
  <c r="E34" i="15" s="1"/>
  <c r="H34" i="15"/>
  <c r="G34" i="15" a="1"/>
  <c r="G34" i="15" s="1"/>
  <c r="J34" i="15" a="1"/>
  <c r="J34" i="15" s="1"/>
  <c r="F33" i="15"/>
  <c r="N34" i="15" l="1" a="1"/>
  <c r="N34" i="15" s="1"/>
  <c r="AR20" i="15"/>
  <c r="AR19" i="15"/>
  <c r="AR22" i="15"/>
  <c r="E43" i="14" a="1"/>
  <c r="E43" i="14" s="1"/>
  <c r="E42" i="14" a="1"/>
  <c r="E42" i="14" s="1"/>
  <c r="D34" i="15"/>
  <c r="I34" i="15" s="1" a="1"/>
  <c r="I34" i="15" s="1"/>
  <c r="L34" i="15" s="1" a="1"/>
  <c r="L34" i="15" s="1"/>
  <c r="K33" i="15" a="1"/>
  <c r="K33" i="15" s="1"/>
  <c r="L33" i="15" a="1"/>
  <c r="L33" i="15" s="1"/>
  <c r="AB32" i="15"/>
  <c r="O33" i="15" a="1"/>
  <c r="O33" i="15" s="1"/>
  <c r="F34" i="15"/>
  <c r="E35" i="15" a="1"/>
  <c r="E35" i="15" s="1"/>
  <c r="G35" i="15" a="1"/>
  <c r="G35" i="15" s="1"/>
  <c r="H35" i="15"/>
  <c r="J35" i="15" a="1"/>
  <c r="J35" i="15" s="1"/>
  <c r="N35" i="15" l="1" a="1"/>
  <c r="N35" i="15" s="1"/>
  <c r="D35" i="15"/>
  <c r="I35" i="15" s="1" a="1"/>
  <c r="I35" i="15" s="1"/>
  <c r="M35" i="15" s="1" a="1"/>
  <c r="M35" i="15" s="1"/>
  <c r="AB33" i="15"/>
  <c r="K34" i="15" a="1"/>
  <c r="K34" i="15" s="1"/>
  <c r="M34" i="15" a="1"/>
  <c r="M34" i="15" s="1"/>
  <c r="O34" i="15" a="1"/>
  <c r="O34" i="15" s="1"/>
  <c r="F35" i="15"/>
  <c r="E36" i="15" a="1"/>
  <c r="E36" i="15" s="1"/>
  <c r="G36" i="15" a="1"/>
  <c r="G36" i="15" s="1"/>
  <c r="H36" i="15"/>
  <c r="J36" i="15" a="1"/>
  <c r="J36" i="15" s="1"/>
  <c r="N36" i="15" l="1" a="1"/>
  <c r="N36" i="15" s="1"/>
  <c r="D36" i="15"/>
  <c r="I36" i="15" s="1" a="1"/>
  <c r="I36" i="15" s="1"/>
  <c r="K36" i="15" s="1" a="1"/>
  <c r="K36" i="15" s="1"/>
  <c r="AB34" i="15"/>
  <c r="L35" i="15" a="1"/>
  <c r="L35" i="15" s="1"/>
  <c r="K35" i="15" a="1"/>
  <c r="K35" i="15" s="1"/>
  <c r="O35" i="15" a="1"/>
  <c r="O35" i="15" s="1"/>
  <c r="F36" i="15"/>
  <c r="E37" i="15" a="1"/>
  <c r="E37" i="15" s="1"/>
  <c r="G37" i="15" a="1"/>
  <c r="G37" i="15" s="1"/>
  <c r="H37" i="15"/>
  <c r="J37" i="15" a="1"/>
  <c r="J37" i="15" s="1"/>
  <c r="N37" i="15" l="1" a="1"/>
  <c r="N37" i="15" s="1"/>
  <c r="D37" i="15"/>
  <c r="I37" i="15" s="1" a="1"/>
  <c r="I37" i="15" s="1"/>
  <c r="M37" i="15" s="1" a="1"/>
  <c r="M37" i="15" s="1"/>
  <c r="P20" i="15" a="1"/>
  <c r="P20" i="15" s="1"/>
  <c r="AB35" i="15"/>
  <c r="L36" i="15" a="1"/>
  <c r="L36" i="15" s="1"/>
  <c r="M36" i="15" a="1"/>
  <c r="M36" i="15" s="1"/>
  <c r="O36" i="15" a="1"/>
  <c r="O36" i="15" s="1"/>
  <c r="F37" i="15"/>
  <c r="P22" i="15" a="1"/>
  <c r="P22" i="15" s="1"/>
  <c r="G38" i="15" a="1"/>
  <c r="G38" i="15" s="1"/>
  <c r="E38" i="15" a="1"/>
  <c r="E38" i="15" s="1"/>
  <c r="H38" i="15"/>
  <c r="J38" i="15" a="1"/>
  <c r="J38" i="15" s="1"/>
  <c r="N38" i="15" l="1" a="1"/>
  <c r="N38" i="15" s="1"/>
  <c r="D38" i="15"/>
  <c r="I38" i="15" s="1" a="1"/>
  <c r="I38" i="15" s="1"/>
  <c r="M38" i="15" s="1" a="1"/>
  <c r="M38" i="15" s="1"/>
  <c r="P31" i="15" a="1"/>
  <c r="P31" i="15" s="1"/>
  <c r="U31" i="15" s="1"/>
  <c r="P36" i="15" a="1"/>
  <c r="P36" i="15" s="1"/>
  <c r="U36" i="15" s="1"/>
  <c r="P33" i="15" a="1"/>
  <c r="P33" i="15" s="1"/>
  <c r="Q33" i="15" s="1"/>
  <c r="P21" i="15" a="1"/>
  <c r="P21" i="15" s="1"/>
  <c r="W21" i="15" s="1"/>
  <c r="P30" i="15" a="1"/>
  <c r="P30" i="15" s="1"/>
  <c r="W30" i="15" s="1"/>
  <c r="P29" i="15" a="1"/>
  <c r="P29" i="15" s="1"/>
  <c r="Z29" i="15" s="1"/>
  <c r="P28" i="15" a="1"/>
  <c r="P28" i="15" s="1"/>
  <c r="S28" i="15" s="1"/>
  <c r="P32" i="15" a="1"/>
  <c r="P32" i="15" s="1"/>
  <c r="U32" i="15" s="1"/>
  <c r="P26" i="15" a="1"/>
  <c r="P26" i="15" s="1"/>
  <c r="U26" i="15" s="1"/>
  <c r="P24" i="15" a="1"/>
  <c r="P24" i="15" s="1"/>
  <c r="Z24" i="15" s="1"/>
  <c r="P34" i="15" a="1"/>
  <c r="P34" i="15" s="1"/>
  <c r="U34" i="15" s="1"/>
  <c r="Z22" i="15"/>
  <c r="U22" i="15"/>
  <c r="W22" i="15"/>
  <c r="S22" i="15"/>
  <c r="Q22" i="15"/>
  <c r="P25" i="15" a="1"/>
  <c r="P25" i="15" s="1"/>
  <c r="Z25" i="15" s="1"/>
  <c r="P23" i="15" a="1"/>
  <c r="P23" i="15" s="1"/>
  <c r="S23" i="15" s="1"/>
  <c r="P35" i="15" a="1"/>
  <c r="P35" i="15" s="1"/>
  <c r="S35" i="15" s="1"/>
  <c r="P27" i="15" a="1"/>
  <c r="P27" i="15" s="1"/>
  <c r="S27" i="15" s="1"/>
  <c r="Q20" i="15"/>
  <c r="S20" i="15"/>
  <c r="Z20" i="15"/>
  <c r="U20" i="15"/>
  <c r="W20" i="15"/>
  <c r="AB36" i="15"/>
  <c r="K37" i="15" a="1"/>
  <c r="K37" i="15" s="1"/>
  <c r="L37" i="15" a="1"/>
  <c r="L37" i="15" s="1"/>
  <c r="P37" i="15" a="1"/>
  <c r="P37" i="15" s="1"/>
  <c r="O37" i="15" a="1"/>
  <c r="O37" i="15" s="1"/>
  <c r="F38" i="15"/>
  <c r="G39" i="15" a="1"/>
  <c r="G39" i="15" s="1"/>
  <c r="H39" i="15"/>
  <c r="E39" i="15" a="1"/>
  <c r="E39" i="15" s="1"/>
  <c r="N39" i="15" s="1" a="1"/>
  <c r="N39" i="15" s="1"/>
  <c r="J39" i="15" a="1"/>
  <c r="J39" i="15" s="1"/>
  <c r="D39" i="15" l="1"/>
  <c r="I39" i="15" s="1" a="1"/>
  <c r="I39" i="15" s="1"/>
  <c r="K39" i="15" s="1" a="1"/>
  <c r="K39" i="15" s="1"/>
  <c r="W31" i="15"/>
  <c r="Q31" i="15"/>
  <c r="W36" i="15"/>
  <c r="Z36" i="15"/>
  <c r="S36" i="15"/>
  <c r="S31" i="15"/>
  <c r="Q36" i="15"/>
  <c r="Z31" i="15"/>
  <c r="U33" i="15"/>
  <c r="W33" i="15"/>
  <c r="Z33" i="15"/>
  <c r="S33" i="15"/>
  <c r="U21" i="15"/>
  <c r="S21" i="15"/>
  <c r="Q21" i="15"/>
  <c r="Z30" i="15"/>
  <c r="Q29" i="15"/>
  <c r="Z21" i="15"/>
  <c r="U29" i="15"/>
  <c r="S29" i="15"/>
  <c r="Z34" i="15"/>
  <c r="Z28" i="15"/>
  <c r="U28" i="15"/>
  <c r="W29" i="15"/>
  <c r="Q28" i="15"/>
  <c r="W32" i="15"/>
  <c r="Q34" i="15"/>
  <c r="W28" i="15"/>
  <c r="S32" i="15"/>
  <c r="W24" i="15"/>
  <c r="Q30" i="15"/>
  <c r="W34" i="15"/>
  <c r="Q26" i="15"/>
  <c r="S34" i="15"/>
  <c r="Q24" i="15"/>
  <c r="S24" i="15"/>
  <c r="U30" i="15"/>
  <c r="Z26" i="15"/>
  <c r="U24" i="15"/>
  <c r="S30" i="15"/>
  <c r="S26" i="15"/>
  <c r="Z32" i="15"/>
  <c r="W26" i="15"/>
  <c r="Q32" i="15"/>
  <c r="Q23" i="15"/>
  <c r="Q27" i="15"/>
  <c r="U27" i="15"/>
  <c r="Z27" i="15"/>
  <c r="W27" i="15"/>
  <c r="S25" i="15"/>
  <c r="U35" i="15"/>
  <c r="U23" i="15"/>
  <c r="W35" i="15"/>
  <c r="W23" i="15"/>
  <c r="Q35" i="15"/>
  <c r="Q25" i="15"/>
  <c r="U25" i="15"/>
  <c r="W25" i="15"/>
  <c r="Z35" i="15"/>
  <c r="Z23" i="15"/>
  <c r="L38" i="15" a="1"/>
  <c r="L38" i="15" s="1"/>
  <c r="W37" i="15"/>
  <c r="AB37" i="15"/>
  <c r="Z37" i="15"/>
  <c r="Q37" i="15"/>
  <c r="U37" i="15"/>
  <c r="S37" i="15"/>
  <c r="K38" i="15" a="1"/>
  <c r="K38" i="15" s="1"/>
  <c r="O38" i="15" a="1"/>
  <c r="O38" i="15" s="1"/>
  <c r="AB38" i="15" s="1"/>
  <c r="P38" i="15" a="1"/>
  <c r="P38" i="15" s="1"/>
  <c r="F39" i="15"/>
  <c r="E40" i="15" a="1"/>
  <c r="E40" i="15" s="1"/>
  <c r="H40" i="15"/>
  <c r="G40" i="15" a="1"/>
  <c r="G40" i="15" s="1"/>
  <c r="J40" i="15" a="1"/>
  <c r="J40" i="15" s="1"/>
  <c r="N40" i="15" l="1" a="1"/>
  <c r="N40" i="15" s="1"/>
  <c r="D40" i="15"/>
  <c r="I40" i="15" s="1" a="1"/>
  <c r="I40" i="15" s="1"/>
  <c r="M40" i="15" s="1" a="1"/>
  <c r="M40" i="15" s="1"/>
  <c r="M39" i="15" a="1"/>
  <c r="M39" i="15" s="1"/>
  <c r="Z38" i="15"/>
  <c r="L39" i="15" a="1"/>
  <c r="L39" i="15" s="1"/>
  <c r="S38" i="15"/>
  <c r="W38" i="15"/>
  <c r="Q38" i="15"/>
  <c r="U38" i="15"/>
  <c r="P39" i="15" a="1"/>
  <c r="P39" i="15" s="1"/>
  <c r="O39" i="15" a="1"/>
  <c r="O39" i="15" s="1"/>
  <c r="AB39" i="15" s="1"/>
  <c r="F40" i="15"/>
  <c r="H41" i="15"/>
  <c r="E41" i="15" a="1"/>
  <c r="E41" i="15" s="1"/>
  <c r="N41" i="15" s="1" a="1"/>
  <c r="N41" i="15" s="1"/>
  <c r="G41" i="15" a="1"/>
  <c r="G41" i="15" s="1"/>
  <c r="J41" i="15" a="1"/>
  <c r="J41" i="15" s="1"/>
  <c r="X28" i="15"/>
  <c r="X30" i="15"/>
  <c r="V24" i="15"/>
  <c r="V33" i="15"/>
  <c r="X26" i="15"/>
  <c r="V30" i="15"/>
  <c r="X25" i="15"/>
  <c r="V31" i="15"/>
  <c r="V27" i="15"/>
  <c r="X24" i="15"/>
  <c r="V20" i="15"/>
  <c r="X33" i="15"/>
  <c r="X31" i="15"/>
  <c r="V23" i="15"/>
  <c r="V32" i="15"/>
  <c r="X23" i="15"/>
  <c r="X29" i="15"/>
  <c r="V26" i="15"/>
  <c r="V21" i="15"/>
  <c r="X22" i="15"/>
  <c r="V28" i="15"/>
  <c r="V22" i="15"/>
  <c r="V29" i="15"/>
  <c r="X27" i="15"/>
  <c r="X32" i="15"/>
  <c r="V25" i="15"/>
  <c r="X20" i="15"/>
  <c r="X21" i="15"/>
  <c r="D41" i="15" l="1"/>
  <c r="I41" i="15" s="1" a="1"/>
  <c r="I41" i="15" s="1"/>
  <c r="L41" i="15" s="1" a="1"/>
  <c r="L41" i="15" s="1"/>
  <c r="L40" i="15" a="1"/>
  <c r="L40" i="15" s="1"/>
  <c r="K40" i="15" a="1"/>
  <c r="K40" i="15" s="1"/>
  <c r="S39" i="15"/>
  <c r="W39" i="15"/>
  <c r="U39" i="15"/>
  <c r="Q39" i="15"/>
  <c r="Z39" i="15"/>
  <c r="O40" i="15" a="1"/>
  <c r="O40" i="15" s="1"/>
  <c r="P40" i="15" a="1"/>
  <c r="P40" i="15" s="1"/>
  <c r="F41" i="15"/>
  <c r="E42" i="15" a="1"/>
  <c r="E42" i="15" s="1"/>
  <c r="H42" i="15"/>
  <c r="G42" i="15" a="1"/>
  <c r="G42" i="15" s="1"/>
  <c r="J42" i="15" a="1"/>
  <c r="J42" i="15" s="1"/>
  <c r="R28" i="15"/>
  <c r="R32" i="15"/>
  <c r="T26" i="15"/>
  <c r="R24" i="15"/>
  <c r="T21" i="15"/>
  <c r="R22" i="15"/>
  <c r="R26" i="15"/>
  <c r="T25" i="15"/>
  <c r="T30" i="15"/>
  <c r="T28" i="15"/>
  <c r="T22" i="15"/>
  <c r="R21" i="15"/>
  <c r="R27" i="15"/>
  <c r="R25" i="15"/>
  <c r="R23" i="15"/>
  <c r="T29" i="15"/>
  <c r="T24" i="15"/>
  <c r="R30" i="15"/>
  <c r="T20" i="15"/>
  <c r="T32" i="15"/>
  <c r="R33" i="15"/>
  <c r="R31" i="15"/>
  <c r="T31" i="15"/>
  <c r="R29" i="15"/>
  <c r="T23" i="15"/>
  <c r="T27" i="15"/>
  <c r="R20" i="15"/>
  <c r="T33" i="15"/>
  <c r="Y20" i="15" l="1"/>
  <c r="Y21" i="15"/>
  <c r="N42" i="15" a="1"/>
  <c r="N42" i="15" s="1"/>
  <c r="D42" i="15"/>
  <c r="I42" i="15" s="1" a="1"/>
  <c r="I42" i="15" s="1"/>
  <c r="L42" i="15" s="1" a="1"/>
  <c r="L42" i="15" s="1"/>
  <c r="Y24" i="15"/>
  <c r="Y27" i="15"/>
  <c r="Y30" i="15"/>
  <c r="Y33" i="15"/>
  <c r="Y31" i="15"/>
  <c r="Y29" i="15"/>
  <c r="Y22" i="15"/>
  <c r="Y23" i="15"/>
  <c r="Y25" i="15"/>
  <c r="Y28" i="15"/>
  <c r="Y32" i="15"/>
  <c r="Y26" i="15"/>
  <c r="U40" i="15"/>
  <c r="Z40" i="15"/>
  <c r="AB40" i="15"/>
  <c r="Q40" i="15"/>
  <c r="M41" i="15" a="1"/>
  <c r="M41" i="15" s="1"/>
  <c r="K41" i="15" a="1"/>
  <c r="K41" i="15" s="1"/>
  <c r="S40" i="15"/>
  <c r="W40" i="15"/>
  <c r="O41" i="15" a="1"/>
  <c r="O41" i="15" s="1"/>
  <c r="F42" i="15"/>
  <c r="H43" i="15"/>
  <c r="G43" i="15" a="1"/>
  <c r="G43" i="15" s="1"/>
  <c r="E43" i="15" a="1"/>
  <c r="E43" i="15" s="1"/>
  <c r="N43" i="15" s="1" a="1"/>
  <c r="N43" i="15" s="1"/>
  <c r="J43" i="15" a="1"/>
  <c r="J43" i="15" s="1"/>
  <c r="D43" i="15" l="1"/>
  <c r="I43" i="15" s="1" a="1"/>
  <c r="I43" i="15" s="1"/>
  <c r="L43" i="15" s="1" a="1"/>
  <c r="L43" i="15" s="1"/>
  <c r="AB41" i="15"/>
  <c r="M42" i="15" a="1"/>
  <c r="M42" i="15" s="1"/>
  <c r="K42" i="15" a="1"/>
  <c r="K42" i="15" s="1"/>
  <c r="O42" i="15" a="1"/>
  <c r="O42" i="15" s="1"/>
  <c r="F43" i="15"/>
  <c r="P41" i="15" a="1"/>
  <c r="P41" i="15" s="1"/>
  <c r="H44" i="15"/>
  <c r="G44" i="15" a="1"/>
  <c r="G44" i="15" s="1"/>
  <c r="E44" i="15" a="1"/>
  <c r="E44" i="15" s="1"/>
  <c r="J44" i="15" a="1"/>
  <c r="J44" i="15" s="1"/>
  <c r="N44" i="15" l="1" a="1"/>
  <c r="N44" i="15" s="1"/>
  <c r="D44" i="15"/>
  <c r="I44" i="15" s="1" a="1"/>
  <c r="I44" i="15" s="1"/>
  <c r="K44" i="15" s="1" a="1"/>
  <c r="K44" i="15" s="1"/>
  <c r="S41" i="15"/>
  <c r="U41" i="15"/>
  <c r="Z41" i="15"/>
  <c r="W41" i="15"/>
  <c r="Q41" i="15"/>
  <c r="P42" i="15" a="1"/>
  <c r="P42" i="15" s="1"/>
  <c r="U42" i="15" s="1"/>
  <c r="AB42" i="15"/>
  <c r="K43" i="15" a="1"/>
  <c r="K43" i="15" s="1"/>
  <c r="M43" i="15" a="1"/>
  <c r="M43" i="15" s="1"/>
  <c r="O43" i="15" a="1"/>
  <c r="O43" i="15" s="1"/>
  <c r="P43" i="15" a="1"/>
  <c r="P43" i="15" s="1"/>
  <c r="F44" i="15"/>
  <c r="G45" i="15" a="1"/>
  <c r="G45" i="15" s="1"/>
  <c r="H45" i="15"/>
  <c r="E45" i="15" a="1"/>
  <c r="E45" i="15" s="1"/>
  <c r="N45" i="15" s="1" a="1"/>
  <c r="N45" i="15" s="1"/>
  <c r="J45" i="15" a="1"/>
  <c r="J45" i="15" s="1"/>
  <c r="D45" i="15" l="1"/>
  <c r="I45" i="15" s="1" a="1"/>
  <c r="I45" i="15" s="1"/>
  <c r="M45" i="15" s="1" a="1"/>
  <c r="M45" i="15" s="1"/>
  <c r="W42" i="15"/>
  <c r="Z42" i="15"/>
  <c r="Q42" i="15"/>
  <c r="W43" i="15"/>
  <c r="S42" i="15"/>
  <c r="Z43" i="15"/>
  <c r="AB43" i="15"/>
  <c r="S43" i="15"/>
  <c r="M44" i="15" a="1"/>
  <c r="M44" i="15" s="1"/>
  <c r="L44" i="15" a="1"/>
  <c r="L44" i="15" s="1"/>
  <c r="U43" i="15"/>
  <c r="Q43" i="15"/>
  <c r="O44" i="15" a="1"/>
  <c r="O44" i="15" s="1"/>
  <c r="P44" i="15" a="1"/>
  <c r="P44" i="15" s="1"/>
  <c r="F45" i="15"/>
  <c r="E46" i="15" a="1"/>
  <c r="E46" i="15" s="1"/>
  <c r="G46" i="15" a="1"/>
  <c r="G46" i="15" s="1"/>
  <c r="H46" i="15"/>
  <c r="J46" i="15" a="1"/>
  <c r="J46" i="15" s="1"/>
  <c r="N46" i="15" l="1" a="1"/>
  <c r="N46" i="15" s="1"/>
  <c r="D46" i="15"/>
  <c r="I46" i="15" s="1" a="1"/>
  <c r="I46" i="15" s="1"/>
  <c r="M46" i="15" s="1" a="1"/>
  <c r="M46" i="15" s="1"/>
  <c r="S44" i="15"/>
  <c r="Z44" i="15"/>
  <c r="AB44" i="15"/>
  <c r="L45" i="15" a="1"/>
  <c r="L45" i="15" s="1"/>
  <c r="K45" i="15" a="1"/>
  <c r="K45" i="15" s="1"/>
  <c r="U44" i="15"/>
  <c r="W44" i="15"/>
  <c r="Q44" i="15"/>
  <c r="P45" i="15" a="1"/>
  <c r="P45" i="15" s="1"/>
  <c r="O45" i="15" a="1"/>
  <c r="O45" i="15" s="1"/>
  <c r="F46" i="15"/>
  <c r="E47" i="15" a="1"/>
  <c r="E47" i="15" s="1"/>
  <c r="G47" i="15" a="1"/>
  <c r="G47" i="15" s="1"/>
  <c r="H47" i="15"/>
  <c r="J47" i="15" a="1"/>
  <c r="J47" i="15" s="1"/>
  <c r="N47" i="15" l="1" a="1"/>
  <c r="N47" i="15" s="1"/>
  <c r="D47" i="15"/>
  <c r="I47" i="15" s="1" a="1"/>
  <c r="I47" i="15" s="1"/>
  <c r="L47" i="15" s="1" a="1"/>
  <c r="L47" i="15" s="1"/>
  <c r="W45" i="15"/>
  <c r="U45" i="15"/>
  <c r="S45" i="15"/>
  <c r="AB45" i="15"/>
  <c r="Z45" i="15"/>
  <c r="Q45" i="15"/>
  <c r="L46" i="15" a="1"/>
  <c r="L46" i="15" s="1"/>
  <c r="K46" i="15" a="1"/>
  <c r="K46" i="15" s="1"/>
  <c r="O46" i="15" a="1"/>
  <c r="O46" i="15" s="1"/>
  <c r="P46" i="15" a="1"/>
  <c r="P46" i="15" s="1"/>
  <c r="F47" i="15"/>
  <c r="E48" i="15" a="1"/>
  <c r="E48" i="15" s="1"/>
  <c r="G48" i="15" a="1"/>
  <c r="G48" i="15" s="1"/>
  <c r="H48" i="15"/>
  <c r="J48" i="15" a="1"/>
  <c r="J48" i="15" s="1"/>
  <c r="N48" i="15" l="1" a="1"/>
  <c r="N48" i="15" s="1"/>
  <c r="Z46" i="15"/>
  <c r="U46" i="15"/>
  <c r="W46" i="15"/>
  <c r="AB46" i="15"/>
  <c r="S46" i="15"/>
  <c r="Q46" i="15"/>
  <c r="M47" i="15" a="1"/>
  <c r="M47" i="15" s="1"/>
  <c r="D48" i="15"/>
  <c r="I48" i="15" s="1" a="1"/>
  <c r="I48" i="15" s="1"/>
  <c r="L48" i="15" s="1" a="1"/>
  <c r="L48" i="15" s="1"/>
  <c r="K47" i="15" a="1"/>
  <c r="K47" i="15" s="1"/>
  <c r="O47" i="15" a="1"/>
  <c r="O47" i="15" s="1"/>
  <c r="P47" i="15" a="1"/>
  <c r="P47" i="15" s="1"/>
  <c r="F48" i="15"/>
  <c r="H49" i="15"/>
  <c r="N49" i="15" s="1" a="1"/>
  <c r="N49" i="15" s="1"/>
  <c r="G49" i="15" a="1"/>
  <c r="G49" i="15" s="1"/>
  <c r="J49" i="15" a="1"/>
  <c r="J49" i="15" s="1"/>
  <c r="K48" i="15" l="1" a="1"/>
  <c r="K48" i="15" s="1"/>
  <c r="Q47" i="15"/>
  <c r="Z47" i="15"/>
  <c r="AB47" i="15"/>
  <c r="M48" i="15" a="1"/>
  <c r="M48" i="15" s="1"/>
  <c r="W47" i="15"/>
  <c r="S47" i="15"/>
  <c r="U47" i="15"/>
  <c r="D49" i="15"/>
  <c r="I49" i="15" s="1" a="1"/>
  <c r="I49" i="15" s="1"/>
  <c r="K49" i="15" s="1" a="1"/>
  <c r="K49" i="15" s="1"/>
  <c r="O48" i="15" a="1"/>
  <c r="O48" i="15" s="1"/>
  <c r="AB48" i="15" s="1"/>
  <c r="P48" i="15" a="1"/>
  <c r="P48" i="15" s="1"/>
  <c r="F49" i="15"/>
  <c r="E50" i="15" a="1"/>
  <c r="E50" i="15" s="1"/>
  <c r="G50" i="15" a="1"/>
  <c r="G50" i="15" s="1"/>
  <c r="H50" i="15"/>
  <c r="J50" i="15" a="1"/>
  <c r="J50" i="15" s="1"/>
  <c r="N50" i="15" l="1" a="1"/>
  <c r="N50" i="15" s="1"/>
  <c r="Z48" i="15"/>
  <c r="D50" i="15"/>
  <c r="I50" i="15" s="1" a="1"/>
  <c r="I50" i="15" s="1"/>
  <c r="K50" i="15" s="1" a="1"/>
  <c r="K50" i="15" s="1"/>
  <c r="M49" i="15" a="1"/>
  <c r="M49" i="15" s="1"/>
  <c r="L49" i="15" a="1"/>
  <c r="L49" i="15" s="1"/>
  <c r="W48" i="15"/>
  <c r="S48" i="15"/>
  <c r="Q48" i="15"/>
  <c r="U48" i="15"/>
  <c r="O49" i="15" a="1"/>
  <c r="O49" i="15" s="1"/>
  <c r="P49" i="15" a="1"/>
  <c r="P49" i="15" s="1"/>
  <c r="F50" i="15"/>
  <c r="E51" i="15" a="1"/>
  <c r="E51" i="15" s="1"/>
  <c r="G51" i="15" a="1"/>
  <c r="G51" i="15" s="1"/>
  <c r="H51" i="15"/>
  <c r="J51" i="15" a="1"/>
  <c r="J51" i="15" s="1"/>
  <c r="N51" i="15" l="1" a="1"/>
  <c r="N51" i="15" s="1"/>
  <c r="D51" i="15"/>
  <c r="I51" i="15" s="1" a="1"/>
  <c r="I51" i="15" s="1"/>
  <c r="M51" i="15" s="1" a="1"/>
  <c r="M51" i="15" s="1"/>
  <c r="S49" i="15"/>
  <c r="AB49" i="15"/>
  <c r="Z49" i="15"/>
  <c r="W49" i="15"/>
  <c r="M50" i="15" a="1"/>
  <c r="M50" i="15" s="1"/>
  <c r="Q49" i="15"/>
  <c r="L50" i="15" a="1"/>
  <c r="L50" i="15" s="1"/>
  <c r="U49" i="15"/>
  <c r="O50" i="15" a="1"/>
  <c r="O50" i="15" s="1"/>
  <c r="P50" i="15" a="1"/>
  <c r="P50" i="15" s="1"/>
  <c r="H52" i="15"/>
  <c r="G52" i="15" a="1"/>
  <c r="G52" i="15" s="1"/>
  <c r="E52" i="15" a="1"/>
  <c r="E52" i="15" s="1"/>
  <c r="J52" i="15" a="1"/>
  <c r="J52" i="15" s="1"/>
  <c r="F51" i="15"/>
  <c r="D52" i="15" l="1"/>
  <c r="I52" i="15" s="1" a="1"/>
  <c r="I52" i="15" s="1"/>
  <c r="K52" i="15" s="1" a="1"/>
  <c r="K52" i="15" s="1"/>
  <c r="N52" i="15" a="1"/>
  <c r="N52" i="15" s="1"/>
  <c r="K51" i="15" a="1"/>
  <c r="K51" i="15" s="1"/>
  <c r="L51" i="15" a="1"/>
  <c r="L51" i="15" s="1"/>
  <c r="S50" i="15"/>
  <c r="Q50" i="15"/>
  <c r="W50" i="15"/>
  <c r="AB50" i="15"/>
  <c r="Z50" i="15"/>
  <c r="U50" i="15"/>
  <c r="O51" i="15" a="1"/>
  <c r="O51" i="15" s="1"/>
  <c r="P51" i="15" a="1"/>
  <c r="P51" i="15" s="1"/>
  <c r="F52" i="15"/>
  <c r="H53" i="15"/>
  <c r="G53" i="15" a="1"/>
  <c r="G53" i="15" s="1"/>
  <c r="E53" i="15" a="1"/>
  <c r="E53" i="15" s="1"/>
  <c r="J53" i="15" a="1"/>
  <c r="J53" i="15" s="1"/>
  <c r="X41" i="15"/>
  <c r="R41" i="15"/>
  <c r="X48" i="15"/>
  <c r="R48" i="15"/>
  <c r="R46" i="15"/>
  <c r="X46" i="15"/>
  <c r="R45" i="15"/>
  <c r="X45" i="15"/>
  <c r="X47" i="15"/>
  <c r="X49" i="15"/>
  <c r="R49" i="15"/>
  <c r="R47" i="15"/>
  <c r="R50" i="15"/>
  <c r="X50" i="15"/>
  <c r="R43" i="15"/>
  <c r="X43" i="15"/>
  <c r="R42" i="15"/>
  <c r="X42" i="15"/>
  <c r="X44" i="15"/>
  <c r="R34" i="15"/>
  <c r="R37" i="15"/>
  <c r="R36" i="15"/>
  <c r="X34" i="15"/>
  <c r="X36" i="15"/>
  <c r="X40" i="15"/>
  <c r="X35" i="15"/>
  <c r="R44" i="15"/>
  <c r="X37" i="15"/>
  <c r="R40" i="15"/>
  <c r="R38" i="15"/>
  <c r="R35" i="15"/>
  <c r="X39" i="15"/>
  <c r="R39" i="15"/>
  <c r="X38" i="15"/>
  <c r="D53" i="15" l="1"/>
  <c r="I53" i="15" s="1" a="1"/>
  <c r="I53" i="15" s="1"/>
  <c r="K53" i="15" s="1" a="1"/>
  <c r="K53" i="15" s="1"/>
  <c r="N53" i="15" a="1"/>
  <c r="N53" i="15" s="1"/>
  <c r="Z51" i="15"/>
  <c r="Q51" i="15"/>
  <c r="W51" i="15"/>
  <c r="AB51" i="15"/>
  <c r="Y44" i="15"/>
  <c r="Y41" i="15"/>
  <c r="Y42" i="15"/>
  <c r="Y43" i="15"/>
  <c r="Y39" i="15"/>
  <c r="Y34" i="15"/>
  <c r="Y35" i="15"/>
  <c r="Y36" i="15"/>
  <c r="Y37" i="15"/>
  <c r="Y38" i="15"/>
  <c r="Y40" i="15"/>
  <c r="Y45" i="15"/>
  <c r="Y46" i="15"/>
  <c r="Y47" i="15"/>
  <c r="Y48" i="15"/>
  <c r="Y49" i="15"/>
  <c r="Y50" i="15"/>
  <c r="M52" i="15" a="1"/>
  <c r="M52" i="15" s="1"/>
  <c r="L52" i="15" a="1"/>
  <c r="L52" i="15" s="1"/>
  <c r="S51" i="15"/>
  <c r="U51" i="15"/>
  <c r="O52" i="15" a="1"/>
  <c r="O52" i="15" s="1"/>
  <c r="P52" i="15" a="1"/>
  <c r="P52" i="15" s="1"/>
  <c r="F53" i="15"/>
  <c r="AD53" i="15" s="1"/>
  <c r="H54" i="15"/>
  <c r="AF54" i="15" s="1"/>
  <c r="E54" i="15" a="1"/>
  <c r="E54" i="15" s="1"/>
  <c r="G54" i="15" a="1"/>
  <c r="G54" i="15" s="1"/>
  <c r="J54" i="15" a="1"/>
  <c r="J54" i="15" s="1"/>
  <c r="R51" i="15"/>
  <c r="X51" i="15"/>
  <c r="T41" i="15"/>
  <c r="T51" i="15"/>
  <c r="V51" i="15"/>
  <c r="V41" i="15"/>
  <c r="T50" i="15"/>
  <c r="T46" i="15"/>
  <c r="V45" i="15"/>
  <c r="T48" i="15"/>
  <c r="V49" i="15"/>
  <c r="T47" i="15"/>
  <c r="V46" i="15"/>
  <c r="V48" i="15"/>
  <c r="T45" i="15"/>
  <c r="T49" i="15"/>
  <c r="V47" i="15"/>
  <c r="V50" i="15"/>
  <c r="V43" i="15"/>
  <c r="T43" i="15"/>
  <c r="T42" i="15"/>
  <c r="V42" i="15"/>
  <c r="AA26" i="15"/>
  <c r="T36" i="15"/>
  <c r="AA22" i="15"/>
  <c r="AA31" i="15"/>
  <c r="AA28" i="15"/>
  <c r="AA29" i="15"/>
  <c r="V34" i="15"/>
  <c r="T44" i="15"/>
  <c r="T40" i="15"/>
  <c r="AA20" i="15"/>
  <c r="V35" i="15"/>
  <c r="T34" i="15"/>
  <c r="AA33" i="15"/>
  <c r="V38" i="15"/>
  <c r="V39" i="15"/>
  <c r="V44" i="15"/>
  <c r="AA24" i="15"/>
  <c r="V37" i="15"/>
  <c r="AA21" i="15"/>
  <c r="V40" i="15"/>
  <c r="T35" i="15"/>
  <c r="AA32" i="15"/>
  <c r="AA27" i="15"/>
  <c r="T38" i="15"/>
  <c r="AA30" i="15"/>
  <c r="T39" i="15"/>
  <c r="V36" i="15"/>
  <c r="AA23" i="15"/>
  <c r="AA25" i="15"/>
  <c r="T37" i="15"/>
  <c r="N54" i="15" l="1" a="1"/>
  <c r="N54" i="15" s="1"/>
  <c r="D54" i="15"/>
  <c r="I54" i="15" s="1" a="1"/>
  <c r="I54" i="15" s="1"/>
  <c r="Q52" i="15"/>
  <c r="Y51" i="15"/>
  <c r="AB52" i="15"/>
  <c r="W52" i="15"/>
  <c r="S52" i="15"/>
  <c r="U52" i="15"/>
  <c r="Z52" i="15"/>
  <c r="L53" i="15" a="1"/>
  <c r="L53" i="15" s="1"/>
  <c r="M53" i="15" a="1"/>
  <c r="M53" i="15" s="1"/>
  <c r="AL54" i="15"/>
  <c r="AK54" i="15"/>
  <c r="AJ54" i="15"/>
  <c r="AE54" i="15"/>
  <c r="AG54" i="15"/>
  <c r="AH54" i="15"/>
  <c r="AI54" i="15"/>
  <c r="AB53" i="15"/>
  <c r="AA53" i="15"/>
  <c r="Z53" i="15"/>
  <c r="Y53" i="15"/>
  <c r="AC53" i="15"/>
  <c r="X53" i="15"/>
  <c r="S53" i="15"/>
  <c r="W53" i="15"/>
  <c r="U53" i="15"/>
  <c r="Q53" i="15"/>
  <c r="V53" i="15"/>
  <c r="T53" i="15"/>
  <c r="R53" i="15"/>
  <c r="O53" i="15" a="1"/>
  <c r="O53" i="15" s="1"/>
  <c r="P53" i="15" a="1"/>
  <c r="P53" i="15" s="1"/>
  <c r="M54" i="15" a="1"/>
  <c r="M54" i="15" s="1"/>
  <c r="L54" i="15" a="1"/>
  <c r="L54" i="15" s="1"/>
  <c r="K54" i="15" a="1"/>
  <c r="K54" i="15" s="1"/>
  <c r="F54" i="15"/>
  <c r="AD54" i="15" s="1"/>
  <c r="H55" i="15"/>
  <c r="E55" i="15" a="1"/>
  <c r="E55" i="15" s="1"/>
  <c r="N55" i="15" s="1" a="1"/>
  <c r="N55" i="15" s="1"/>
  <c r="G55" i="15" a="1"/>
  <c r="G55" i="15" s="1"/>
  <c r="J55" i="15" a="1"/>
  <c r="J55" i="15" s="1"/>
  <c r="R52" i="15"/>
  <c r="X52" i="15"/>
  <c r="T52" i="15"/>
  <c r="V52" i="15"/>
  <c r="AC32" i="15"/>
  <c r="AC28" i="15"/>
  <c r="AC30" i="15"/>
  <c r="AC25" i="15"/>
  <c r="AC27" i="15"/>
  <c r="AC33" i="15"/>
  <c r="AC22" i="15"/>
  <c r="AC21" i="15"/>
  <c r="AC29" i="15"/>
  <c r="AC31" i="15"/>
  <c r="AC20" i="15"/>
  <c r="AC26" i="15"/>
  <c r="AC24" i="15"/>
  <c r="AC23" i="15"/>
  <c r="AD24" i="15" l="1"/>
  <c r="AD30" i="15"/>
  <c r="AD28" i="15"/>
  <c r="AD33" i="15"/>
  <c r="AD22" i="15"/>
  <c r="AD31" i="15"/>
  <c r="AD21" i="15"/>
  <c r="AD27" i="15"/>
  <c r="AD26" i="15"/>
  <c r="AD25" i="15"/>
  <c r="AD32" i="15"/>
  <c r="AD23" i="15"/>
  <c r="AD20" i="15"/>
  <c r="AD29" i="15"/>
  <c r="D55" i="15"/>
  <c r="I55" i="15" s="1" a="1"/>
  <c r="I55" i="15" s="1"/>
  <c r="Y52" i="15"/>
  <c r="AF55" i="15"/>
  <c r="AL55" i="15"/>
  <c r="AK55" i="15"/>
  <c r="AJ55" i="15"/>
  <c r="AI55" i="15"/>
  <c r="AH55" i="15"/>
  <c r="AG55" i="15"/>
  <c r="AC54" i="15"/>
  <c r="AB54" i="15"/>
  <c r="AA54" i="15"/>
  <c r="Z54" i="15"/>
  <c r="Y54" i="15"/>
  <c r="V54" i="15"/>
  <c r="X54" i="15"/>
  <c r="S54" i="15"/>
  <c r="W54" i="15"/>
  <c r="U54" i="15"/>
  <c r="Q54" i="15"/>
  <c r="T54" i="15"/>
  <c r="R54" i="15"/>
  <c r="P54" i="15" a="1"/>
  <c r="P54" i="15" s="1"/>
  <c r="O54" i="15" a="1"/>
  <c r="O54" i="15" s="1"/>
  <c r="M55" i="15" a="1"/>
  <c r="M55" i="15" s="1"/>
  <c r="L55" i="15" a="1"/>
  <c r="L55" i="15" s="1"/>
  <c r="K55" i="15" a="1"/>
  <c r="K55" i="15" s="1"/>
  <c r="F55" i="15"/>
  <c r="AD55" i="15" s="1"/>
  <c r="G56" i="15" a="1"/>
  <c r="G56" i="15" s="1"/>
  <c r="H56" i="15"/>
  <c r="E56" i="15" a="1"/>
  <c r="E56" i="15" s="1"/>
  <c r="N56" i="15" s="1" a="1"/>
  <c r="N56" i="15" s="1"/>
  <c r="J56" i="15" a="1"/>
  <c r="J56" i="15" s="1"/>
  <c r="AA41" i="15"/>
  <c r="AA51" i="15"/>
  <c r="AC51" i="15"/>
  <c r="AA52" i="15"/>
  <c r="AC41" i="15"/>
  <c r="AA46" i="15"/>
  <c r="AA47" i="15"/>
  <c r="AA48" i="15"/>
  <c r="AA50" i="15"/>
  <c r="AA49" i="15"/>
  <c r="AA45" i="15"/>
  <c r="AA43" i="15"/>
  <c r="AA42" i="15"/>
  <c r="AA40" i="15"/>
  <c r="AA39" i="15"/>
  <c r="AA36" i="15"/>
  <c r="AA34" i="15"/>
  <c r="AA44" i="15"/>
  <c r="AA35" i="15"/>
  <c r="AA37" i="15"/>
  <c r="AA38" i="15"/>
  <c r="D56" i="15" l="1"/>
  <c r="I56" i="15" s="1" a="1"/>
  <c r="I56" i="15" s="1"/>
  <c r="M56" i="15" s="1" a="1"/>
  <c r="M56" i="15" s="1"/>
  <c r="AD41" i="15"/>
  <c r="AD51" i="15"/>
  <c r="Z55" i="15"/>
  <c r="AC55" i="15"/>
  <c r="AB55" i="15"/>
  <c r="AA55" i="15"/>
  <c r="Y55" i="15"/>
  <c r="V55" i="15"/>
  <c r="X55" i="15"/>
  <c r="S55" i="15"/>
  <c r="U55" i="15"/>
  <c r="Q55" i="15"/>
  <c r="T55" i="15"/>
  <c r="W55" i="15"/>
  <c r="R55" i="15"/>
  <c r="O55" i="15" a="1"/>
  <c r="O55" i="15" s="1"/>
  <c r="P55" i="15" a="1"/>
  <c r="P55" i="15" s="1"/>
  <c r="F56" i="15"/>
  <c r="H57" i="15"/>
  <c r="G57" i="15" a="1"/>
  <c r="G57" i="15" s="1"/>
  <c r="E57" i="15" a="1"/>
  <c r="E57" i="15" s="1"/>
  <c r="J57" i="15" a="1"/>
  <c r="J57" i="15" s="1"/>
  <c r="AC52" i="15"/>
  <c r="AC50" i="15"/>
  <c r="AC45" i="15"/>
  <c r="AC47" i="15"/>
  <c r="AC46" i="15"/>
  <c r="AC49" i="15"/>
  <c r="AC48" i="15"/>
  <c r="AC43" i="15"/>
  <c r="AC42" i="15"/>
  <c r="AC35" i="15"/>
  <c r="AC40" i="15"/>
  <c r="AC38" i="15"/>
  <c r="AC44" i="15"/>
  <c r="AC37" i="15"/>
  <c r="AC34" i="15"/>
  <c r="AC39" i="15"/>
  <c r="AC36" i="15"/>
  <c r="N57" i="15" l="1" a="1"/>
  <c r="N57" i="15" s="1"/>
  <c r="AD50" i="15"/>
  <c r="AD46" i="15"/>
  <c r="AD48" i="15"/>
  <c r="AD49" i="15"/>
  <c r="AD47" i="15"/>
  <c r="AD44" i="15"/>
  <c r="AD40" i="15"/>
  <c r="AD45" i="15"/>
  <c r="AD39" i="15"/>
  <c r="AD37" i="15"/>
  <c r="AD35" i="15"/>
  <c r="AD42" i="15"/>
  <c r="AD38" i="15"/>
  <c r="AD36" i="15"/>
  <c r="AD34" i="15"/>
  <c r="AD43" i="15"/>
  <c r="AG52" i="15"/>
  <c r="D57" i="15"/>
  <c r="I57" i="15" s="1" a="1"/>
  <c r="I57" i="15" s="1"/>
  <c r="M57" i="15" s="1" a="1"/>
  <c r="M57" i="15" s="1"/>
  <c r="AH52" i="15"/>
  <c r="AI52" i="15"/>
  <c r="AE52" i="15"/>
  <c r="AF52" i="15"/>
  <c r="AJ52" i="15" s="1"/>
  <c r="AD52" i="15"/>
  <c r="AE55" i="15" s="1"/>
  <c r="K56" i="15" a="1"/>
  <c r="K56" i="15" s="1"/>
  <c r="AK52" i="15"/>
  <c r="L56" i="15" a="1"/>
  <c r="L56" i="15" s="1"/>
  <c r="P56" i="15" a="1"/>
  <c r="P56" i="15" s="1"/>
  <c r="O56" i="15" a="1"/>
  <c r="O56" i="15" s="1"/>
  <c r="U56" i="15" s="1"/>
  <c r="F57" i="15"/>
  <c r="E58" i="15" a="1"/>
  <c r="E58" i="15" s="1"/>
  <c r="G58" i="15" a="1"/>
  <c r="G58" i="15" s="1"/>
  <c r="H58" i="15"/>
  <c r="J58" i="15" a="1"/>
  <c r="J58" i="15" s="1"/>
  <c r="V56" i="15"/>
  <c r="N39" i="14" l="1" a="1"/>
  <c r="N39" i="14" s="1"/>
  <c r="M39" i="14" a="1"/>
  <c r="M39" i="14" s="1"/>
  <c r="L39" i="14" a="1"/>
  <c r="L39" i="14" s="1"/>
  <c r="AI33" i="15"/>
  <c r="AF33" i="15"/>
  <c r="AE33" i="15"/>
  <c r="AH33" i="15"/>
  <c r="AG33" i="15"/>
  <c r="AH32" i="15"/>
  <c r="AG32" i="15"/>
  <c r="AF32" i="15"/>
  <c r="AI32" i="15"/>
  <c r="AE32" i="15"/>
  <c r="AE31" i="15"/>
  <c r="AF31" i="15"/>
  <c r="AI31" i="15"/>
  <c r="AH31" i="15"/>
  <c r="AG31" i="15"/>
  <c r="N41" i="14" a="1"/>
  <c r="N41" i="14" s="1"/>
  <c r="M41" i="14" a="1"/>
  <c r="M41" i="14" s="1"/>
  <c r="L41" i="14" a="1"/>
  <c r="L41" i="14" s="1"/>
  <c r="L43" i="14" a="1"/>
  <c r="L43" i="14" s="1"/>
  <c r="N43" i="14" a="1"/>
  <c r="N43" i="14" s="1"/>
  <c r="M43" i="14" a="1"/>
  <c r="M43" i="14" s="1"/>
  <c r="N58" i="15" a="1"/>
  <c r="N58" i="15" s="1"/>
  <c r="T45" i="14" a="1"/>
  <c r="T45" i="14" s="1"/>
  <c r="R45" i="14" a="1"/>
  <c r="R45" i="14" s="1"/>
  <c r="S45" i="14" a="1"/>
  <c r="S45" i="14" s="1"/>
  <c r="AG51" i="15"/>
  <c r="AF51" i="15"/>
  <c r="AI51" i="15"/>
  <c r="AE51" i="15"/>
  <c r="AH51" i="15"/>
  <c r="AE49" i="15"/>
  <c r="AI49" i="15"/>
  <c r="AF49" i="15"/>
  <c r="AH49" i="15"/>
  <c r="AG49" i="15"/>
  <c r="N45" i="14" a="1"/>
  <c r="N45" i="14" s="1"/>
  <c r="M45" i="14" a="1"/>
  <c r="M45" i="14" s="1"/>
  <c r="L45" i="14" a="1"/>
  <c r="L45" i="14" s="1"/>
  <c r="N42" i="14" a="1"/>
  <c r="N42" i="14" s="1"/>
  <c r="N40" i="14" a="1"/>
  <c r="N40" i="14" s="1"/>
  <c r="M42" i="14" a="1"/>
  <c r="M42" i="14" s="1"/>
  <c r="M40" i="14" a="1"/>
  <c r="M40" i="14" s="1"/>
  <c r="L42" i="14" a="1"/>
  <c r="L42" i="14" s="1"/>
  <c r="L40" i="14" a="1"/>
  <c r="L40" i="14" s="1"/>
  <c r="AE34" i="15"/>
  <c r="AF40" i="15"/>
  <c r="AG41" i="15"/>
  <c r="AG40" i="15"/>
  <c r="AG25" i="15"/>
  <c r="AI25" i="15"/>
  <c r="AF25" i="15"/>
  <c r="AE40" i="15"/>
  <c r="AE25" i="15"/>
  <c r="AH40" i="15"/>
  <c r="AH41" i="15"/>
  <c r="AI40" i="15"/>
  <c r="AI41" i="15"/>
  <c r="AH25" i="15"/>
  <c r="AH38" i="15"/>
  <c r="AI35" i="15"/>
  <c r="AE38" i="15"/>
  <c r="AI39" i="15"/>
  <c r="AH35" i="15"/>
  <c r="AF34" i="15"/>
  <c r="AF36" i="15"/>
  <c r="AH36" i="15"/>
  <c r="AE42" i="15"/>
  <c r="AE43" i="15"/>
  <c r="AF35" i="15"/>
  <c r="AF43" i="15"/>
  <c r="AH39" i="15"/>
  <c r="AI42" i="15"/>
  <c r="AI34" i="15"/>
  <c r="AF38" i="15"/>
  <c r="AH34" i="15"/>
  <c r="AF39" i="15"/>
  <c r="AG34" i="15"/>
  <c r="AE36" i="15"/>
  <c r="AG35" i="15"/>
  <c r="AH43" i="15"/>
  <c r="AG38" i="15"/>
  <c r="AE35" i="15"/>
  <c r="AE41" i="15"/>
  <c r="AI38" i="15"/>
  <c r="AH42" i="15"/>
  <c r="AI43" i="15"/>
  <c r="AG39" i="15"/>
  <c r="AE39" i="15"/>
  <c r="AG42" i="15"/>
  <c r="AI36" i="15"/>
  <c r="AG36" i="15"/>
  <c r="AG43" i="15"/>
  <c r="AL52" i="15"/>
  <c r="AB56" i="15"/>
  <c r="Z56" i="15"/>
  <c r="D58" i="15"/>
  <c r="I58" i="15" s="1" a="1"/>
  <c r="I58" i="15" s="1"/>
  <c r="L58" i="15" s="1" a="1"/>
  <c r="L58" i="15" s="1"/>
  <c r="K57" i="15" a="1"/>
  <c r="K57" i="15" s="1"/>
  <c r="L57" i="15" a="1"/>
  <c r="L57" i="15" s="1"/>
  <c r="S56" i="15"/>
  <c r="W56" i="15"/>
  <c r="Q56" i="15"/>
  <c r="AH53" i="15"/>
  <c r="AE37" i="15"/>
  <c r="AI53" i="15"/>
  <c r="AH37" i="15"/>
  <c r="AG37" i="15"/>
  <c r="AF53" i="15"/>
  <c r="AJ53" i="15" s="1"/>
  <c r="AF37" i="15"/>
  <c r="AI37" i="15"/>
  <c r="AE53" i="15"/>
  <c r="AG53" i="15"/>
  <c r="O57" i="15" a="1"/>
  <c r="O57" i="15" s="1"/>
  <c r="AB57" i="15" s="1"/>
  <c r="P57" i="15" a="1"/>
  <c r="P57" i="15" s="1"/>
  <c r="F58" i="15"/>
  <c r="AD58" i="15" s="1"/>
  <c r="E59" i="15" a="1"/>
  <c r="E59" i="15" s="1"/>
  <c r="H59" i="15"/>
  <c r="AF59" i="15" s="1"/>
  <c r="G59" i="15" a="1"/>
  <c r="G59" i="15" s="1"/>
  <c r="J59" i="15" a="1"/>
  <c r="J59" i="15" s="1"/>
  <c r="X56" i="15"/>
  <c r="T56" i="15"/>
  <c r="R56" i="15"/>
  <c r="AR29" i="15" l="1"/>
  <c r="AJ33" i="15"/>
  <c r="AL33" i="15"/>
  <c r="AK33" i="15"/>
  <c r="AK32" i="15"/>
  <c r="AL32" i="15"/>
  <c r="AJ32" i="15"/>
  <c r="AK31" i="15"/>
  <c r="AL31" i="15"/>
  <c r="AJ31" i="15"/>
  <c r="AR31" i="15"/>
  <c r="AR33" i="15"/>
  <c r="E31" i="14"/>
  <c r="E29" i="14"/>
  <c r="E30" i="14" s="1"/>
  <c r="N59" i="15" a="1"/>
  <c r="N59" i="15" s="1"/>
  <c r="AJ49" i="15"/>
  <c r="AR35" i="15"/>
  <c r="AR30" i="15"/>
  <c r="AR32" i="15"/>
  <c r="AY35" i="15"/>
  <c r="AL49" i="15"/>
  <c r="AL51" i="15"/>
  <c r="AK51" i="15"/>
  <c r="AJ51" i="15"/>
  <c r="AK49" i="15"/>
  <c r="M44" i="14"/>
  <c r="L44" i="14"/>
  <c r="N44" i="14"/>
  <c r="AJ35" i="15"/>
  <c r="AJ40" i="15"/>
  <c r="AJ25" i="15"/>
  <c r="AK25" i="15"/>
  <c r="AL40" i="15"/>
  <c r="AK40" i="15"/>
  <c r="AL25" i="15"/>
  <c r="AK34" i="15"/>
  <c r="AL36" i="15"/>
  <c r="AL35" i="15"/>
  <c r="AJ36" i="15"/>
  <c r="AL34" i="15"/>
  <c r="AK35" i="15"/>
  <c r="AJ39" i="15"/>
  <c r="AK43" i="15"/>
  <c r="AK38" i="15"/>
  <c r="AJ34" i="15"/>
  <c r="AK39" i="15"/>
  <c r="AJ43" i="15"/>
  <c r="AL39" i="15"/>
  <c r="AJ38" i="15"/>
  <c r="AL43" i="15"/>
  <c r="AL38" i="15"/>
  <c r="AK36" i="15"/>
  <c r="AJ37" i="15"/>
  <c r="K58" i="15" a="1"/>
  <c r="K58" i="15" s="1"/>
  <c r="M58" i="15" a="1"/>
  <c r="M58" i="15" s="1"/>
  <c r="Y56" i="15"/>
  <c r="W57" i="15"/>
  <c r="U57" i="15"/>
  <c r="Z57" i="15"/>
  <c r="AK37" i="15"/>
  <c r="AL37" i="15"/>
  <c r="AL53" i="15"/>
  <c r="AK53" i="15"/>
  <c r="Q57" i="15"/>
  <c r="S57" i="15"/>
  <c r="D59" i="15"/>
  <c r="I59" i="15" s="1" a="1"/>
  <c r="I59" i="15" s="1"/>
  <c r="AL59" i="15"/>
  <c r="AK59" i="15"/>
  <c r="AJ59" i="15"/>
  <c r="AE59" i="15"/>
  <c r="AG59" i="15"/>
  <c r="AI59" i="15"/>
  <c r="AH59" i="15"/>
  <c r="AA58" i="15"/>
  <c r="Z58" i="15"/>
  <c r="AC58" i="15"/>
  <c r="Y58" i="15"/>
  <c r="AB58" i="15"/>
  <c r="Q58" i="15"/>
  <c r="U58" i="15"/>
  <c r="R58" i="15"/>
  <c r="V58" i="15"/>
  <c r="S58" i="15"/>
  <c r="T58" i="15"/>
  <c r="X58" i="15"/>
  <c r="W58" i="15"/>
  <c r="P58" i="15" a="1"/>
  <c r="P58" i="15" s="1"/>
  <c r="O58" i="15" a="1"/>
  <c r="O58" i="15" s="1"/>
  <c r="M59" i="15" a="1"/>
  <c r="M59" i="15" s="1"/>
  <c r="L59" i="15" a="1"/>
  <c r="L59" i="15" s="1"/>
  <c r="K59" i="15" a="1"/>
  <c r="K59" i="15" s="1"/>
  <c r="F59" i="15"/>
  <c r="AD59" i="15" s="1"/>
  <c r="H60" i="15"/>
  <c r="AF60" i="15" s="1"/>
  <c r="G60" i="15" a="1"/>
  <c r="G60" i="15" s="1"/>
  <c r="E60" i="15" a="1"/>
  <c r="E60" i="15" s="1"/>
  <c r="J60" i="15" a="1"/>
  <c r="J60" i="15" s="1"/>
  <c r="R57" i="15"/>
  <c r="X57" i="15"/>
  <c r="V57" i="15"/>
  <c r="T57" i="15"/>
  <c r="N60" i="15" l="1" a="1"/>
  <c r="N60" i="15" s="1"/>
  <c r="AR34" i="15"/>
  <c r="Y57" i="15"/>
  <c r="D60" i="15"/>
  <c r="I60" i="15" s="1" a="1"/>
  <c r="I60" i="15" s="1"/>
  <c r="AL60" i="15"/>
  <c r="AK60" i="15"/>
  <c r="AJ60" i="15"/>
  <c r="AE60" i="15"/>
  <c r="AG60" i="15"/>
  <c r="AH60" i="15"/>
  <c r="AI60" i="15"/>
  <c r="AC59" i="15"/>
  <c r="Y59" i="15"/>
  <c r="AB59" i="15"/>
  <c r="AA59" i="15"/>
  <c r="Z59" i="15"/>
  <c r="Q59" i="15"/>
  <c r="T59" i="15"/>
  <c r="R59" i="15"/>
  <c r="U59" i="15"/>
  <c r="V59" i="15"/>
  <c r="S59" i="15"/>
  <c r="X59" i="15"/>
  <c r="W59" i="15"/>
  <c r="P59" i="15" a="1"/>
  <c r="P59" i="15" s="1"/>
  <c r="O59" i="15" a="1"/>
  <c r="O59" i="15" s="1"/>
  <c r="M60" i="15" a="1"/>
  <c r="M60" i="15" s="1"/>
  <c r="L60" i="15" a="1"/>
  <c r="L60" i="15" s="1"/>
  <c r="K60" i="15" a="1"/>
  <c r="K60" i="15" s="1"/>
  <c r="F60" i="15"/>
  <c r="AD60" i="15" s="1"/>
  <c r="H61" i="15"/>
  <c r="AF61" i="15" s="1"/>
  <c r="G61" i="15" a="1"/>
  <c r="G61" i="15" s="1"/>
  <c r="E61" i="15" a="1"/>
  <c r="E61" i="15" s="1"/>
  <c r="J61" i="15" a="1"/>
  <c r="J61" i="15" s="1"/>
  <c r="AA56" i="15"/>
  <c r="D61" i="15" l="1"/>
  <c r="N61" i="15" a="1"/>
  <c r="N61" i="15" s="1"/>
  <c r="AL61" i="15"/>
  <c r="AK61" i="15"/>
  <c r="AJ61" i="15"/>
  <c r="AE61" i="15"/>
  <c r="AH61" i="15"/>
  <c r="AI61" i="15"/>
  <c r="AG61" i="15"/>
  <c r="Y60" i="15"/>
  <c r="AB60" i="15"/>
  <c r="AA60" i="15"/>
  <c r="AC60" i="15"/>
  <c r="Z60" i="15"/>
  <c r="Q60" i="15"/>
  <c r="T60" i="15"/>
  <c r="R60" i="15"/>
  <c r="X60" i="15"/>
  <c r="V60" i="15"/>
  <c r="S60" i="15"/>
  <c r="W60" i="15"/>
  <c r="U60" i="15"/>
  <c r="O60" i="15" a="1"/>
  <c r="O60" i="15" s="1"/>
  <c r="P60" i="15" a="1"/>
  <c r="P60" i="15" s="1"/>
  <c r="K61" i="15" a="1"/>
  <c r="K61" i="15" s="1"/>
  <c r="L61" i="15" a="1"/>
  <c r="L61" i="15" s="1"/>
  <c r="M61" i="15" a="1"/>
  <c r="M61" i="15" s="1"/>
  <c r="I61" i="15" a="1"/>
  <c r="I61" i="15" s="1"/>
  <c r="F61" i="15"/>
  <c r="AD61" i="15" s="1"/>
  <c r="G62" i="15" a="1"/>
  <c r="G62" i="15" s="1"/>
  <c r="H62" i="15"/>
  <c r="AF62" i="15" s="1"/>
  <c r="E62" i="15" a="1"/>
  <c r="E62" i="15" s="1"/>
  <c r="N62" i="15" s="1" a="1"/>
  <c r="N62" i="15" s="1"/>
  <c r="J62" i="15" a="1"/>
  <c r="J62" i="15" s="1"/>
  <c r="AC56" i="15"/>
  <c r="AA57" i="15"/>
  <c r="AD56" i="15" l="1"/>
  <c r="D62" i="15"/>
  <c r="AL62" i="15"/>
  <c r="AK62" i="15"/>
  <c r="AJ62" i="15"/>
  <c r="AE62" i="15"/>
  <c r="AI62" i="15"/>
  <c r="AH62" i="15"/>
  <c r="AG62" i="15"/>
  <c r="AB61" i="15"/>
  <c r="AA61" i="15"/>
  <c r="AC61" i="15"/>
  <c r="Z61" i="15"/>
  <c r="Y61" i="15"/>
  <c r="W61" i="15"/>
  <c r="T61" i="15"/>
  <c r="S61" i="15"/>
  <c r="X61" i="15"/>
  <c r="V61" i="15"/>
  <c r="Q61" i="15"/>
  <c r="R61" i="15"/>
  <c r="U61" i="15"/>
  <c r="P61" i="15" a="1"/>
  <c r="P61" i="15" s="1"/>
  <c r="O61" i="15" a="1"/>
  <c r="O61" i="15" s="1"/>
  <c r="M62" i="15" a="1"/>
  <c r="M62" i="15" s="1"/>
  <c r="K62" i="15" a="1"/>
  <c r="K62" i="15" s="1"/>
  <c r="L62" i="15" a="1"/>
  <c r="L62" i="15" s="1"/>
  <c r="H63" i="15"/>
  <c r="AF63" i="15" s="1"/>
  <c r="G63" i="15" a="1"/>
  <c r="G63" i="15" s="1"/>
  <c r="E63" i="15" a="1"/>
  <c r="E63" i="15" s="1"/>
  <c r="N63" i="15" s="1" a="1"/>
  <c r="N63" i="15" s="1"/>
  <c r="J63" i="15" a="1"/>
  <c r="J63" i="15" s="1"/>
  <c r="I62" i="15" a="1"/>
  <c r="I62" i="15" s="1"/>
  <c r="F62" i="15"/>
  <c r="AD62" i="15" s="1"/>
  <c r="AC57" i="15"/>
  <c r="D63" i="15" l="1"/>
  <c r="I63" i="15" s="1" a="1"/>
  <c r="I63" i="15" s="1"/>
  <c r="AD57" i="15"/>
  <c r="AH57" i="15"/>
  <c r="AE57" i="15"/>
  <c r="AF57" i="15"/>
  <c r="AG57" i="15"/>
  <c r="AI57" i="15"/>
  <c r="AF56" i="15"/>
  <c r="AH58" i="15"/>
  <c r="AE58" i="15"/>
  <c r="AF58" i="15"/>
  <c r="AG56" i="15"/>
  <c r="AI56" i="15"/>
  <c r="AG58" i="15"/>
  <c r="AE56" i="15"/>
  <c r="AI58" i="15"/>
  <c r="AH56" i="15"/>
  <c r="AL63" i="15"/>
  <c r="AK63" i="15"/>
  <c r="AJ63" i="15"/>
  <c r="AE63" i="15"/>
  <c r="AI63" i="15"/>
  <c r="AH63" i="15"/>
  <c r="AG63" i="15"/>
  <c r="Y62" i="15"/>
  <c r="AC62" i="15"/>
  <c r="Z62" i="15"/>
  <c r="AB62" i="15"/>
  <c r="AA62" i="15"/>
  <c r="W62" i="15"/>
  <c r="T62" i="15"/>
  <c r="S62" i="15"/>
  <c r="X62" i="15"/>
  <c r="V62" i="15"/>
  <c r="Q62" i="15"/>
  <c r="R62" i="15"/>
  <c r="U62" i="15"/>
  <c r="O62" i="15" a="1"/>
  <c r="O62" i="15" s="1"/>
  <c r="P62" i="15" a="1"/>
  <c r="P62" i="15" s="1"/>
  <c r="L63" i="15" a="1"/>
  <c r="L63" i="15" s="1"/>
  <c r="M63" i="15" a="1"/>
  <c r="M63" i="15" s="1"/>
  <c r="K63" i="15" a="1"/>
  <c r="K63" i="15" s="1"/>
  <c r="F63" i="15"/>
  <c r="AD63" i="15" s="1"/>
  <c r="H64" i="15"/>
  <c r="AF64" i="15" s="1"/>
  <c r="E64" i="15" a="1"/>
  <c r="E64" i="15" s="1"/>
  <c r="N64" i="15" s="1" a="1"/>
  <c r="N64" i="15" s="1"/>
  <c r="G64" i="15" a="1"/>
  <c r="G64" i="15" s="1"/>
  <c r="J64" i="15" a="1"/>
  <c r="J64" i="15" s="1"/>
  <c r="D64" i="15" l="1"/>
  <c r="I64" i="15" s="1" a="1"/>
  <c r="I64" i="15" s="1"/>
  <c r="AK57" i="15"/>
  <c r="AL57" i="15"/>
  <c r="AJ56" i="15"/>
  <c r="AJ57" i="15"/>
  <c r="AK58" i="15"/>
  <c r="AL58" i="15"/>
  <c r="AL56" i="15"/>
  <c r="AK56" i="15"/>
  <c r="AJ58" i="15"/>
  <c r="AL64" i="15"/>
  <c r="AK64" i="15"/>
  <c r="AJ64" i="15"/>
  <c r="AE64" i="15"/>
  <c r="AG64" i="15"/>
  <c r="AI64" i="15"/>
  <c r="AH64" i="15"/>
  <c r="Y63" i="15"/>
  <c r="AB63" i="15"/>
  <c r="AA63" i="15"/>
  <c r="AC63" i="15"/>
  <c r="Z63" i="15"/>
  <c r="S63" i="15"/>
  <c r="W63" i="15"/>
  <c r="V63" i="15"/>
  <c r="T63" i="15"/>
  <c r="X63" i="15"/>
  <c r="Q63" i="15"/>
  <c r="R63" i="15"/>
  <c r="U63" i="15"/>
  <c r="O63" i="15" a="1"/>
  <c r="O63" i="15" s="1"/>
  <c r="P63" i="15" a="1"/>
  <c r="P63" i="15" s="1"/>
  <c r="K64" i="15" a="1"/>
  <c r="K64" i="15" s="1"/>
  <c r="M64" i="15" a="1"/>
  <c r="M64" i="15" s="1"/>
  <c r="L64" i="15" a="1"/>
  <c r="L64" i="15" s="1"/>
  <c r="F64" i="15"/>
  <c r="AD64" i="15" s="1"/>
  <c r="E65" i="15" a="1"/>
  <c r="E65" i="15" s="1"/>
  <c r="H65" i="15"/>
  <c r="AF65" i="15" s="1"/>
  <c r="G65" i="15" a="1"/>
  <c r="G65" i="15" s="1"/>
  <c r="J65" i="15" a="1"/>
  <c r="J65" i="15" s="1"/>
  <c r="N65" i="15" l="1" a="1"/>
  <c r="N65" i="15" s="1"/>
  <c r="D65" i="15"/>
  <c r="I65" i="15" s="1" a="1"/>
  <c r="I65" i="15" s="1"/>
  <c r="AL65" i="15"/>
  <c r="AK65" i="15"/>
  <c r="AJ65" i="15"/>
  <c r="AE65" i="15"/>
  <c r="AG65" i="15"/>
  <c r="AI65" i="15"/>
  <c r="AH65" i="15"/>
  <c r="AC64" i="15"/>
  <c r="AB64" i="15"/>
  <c r="Y64" i="15"/>
  <c r="AA64" i="15"/>
  <c r="Z64" i="15"/>
  <c r="X64" i="15"/>
  <c r="S64" i="15"/>
  <c r="V64" i="15"/>
  <c r="W64" i="15"/>
  <c r="T64" i="15"/>
  <c r="Q64" i="15"/>
  <c r="R64" i="15"/>
  <c r="U64" i="15"/>
  <c r="O64" i="15" a="1"/>
  <c r="O64" i="15" s="1"/>
  <c r="P64" i="15" a="1"/>
  <c r="P64" i="15" s="1"/>
  <c r="M65" i="15" a="1"/>
  <c r="M65" i="15" s="1"/>
  <c r="K65" i="15" a="1"/>
  <c r="K65" i="15" s="1"/>
  <c r="L65" i="15" a="1"/>
  <c r="L65" i="15" s="1"/>
  <c r="F65" i="15"/>
  <c r="AD65" i="15" s="1"/>
  <c r="E66" i="15" a="1"/>
  <c r="E66" i="15" s="1"/>
  <c r="H66" i="15"/>
  <c r="AF66" i="15" s="1"/>
  <c r="G66" i="15" a="1"/>
  <c r="G66" i="15" s="1"/>
  <c r="J66" i="15" a="1"/>
  <c r="J66" i="15" s="1"/>
  <c r="N66" i="15" l="1" a="1"/>
  <c r="N66" i="15" s="1"/>
  <c r="D66" i="15"/>
  <c r="I66" i="15" s="1" a="1"/>
  <c r="I66" i="15" s="1"/>
  <c r="AK66" i="15"/>
  <c r="AJ66" i="15"/>
  <c r="AL66" i="15"/>
  <c r="AE66" i="15"/>
  <c r="AG66" i="15"/>
  <c r="AI66" i="15"/>
  <c r="AH66" i="15"/>
  <c r="Z65" i="15"/>
  <c r="Y65" i="15"/>
  <c r="AB65" i="15"/>
  <c r="AA65" i="15"/>
  <c r="AC65" i="15"/>
  <c r="X65" i="15"/>
  <c r="S65" i="15"/>
  <c r="U65" i="15"/>
  <c r="V65" i="15"/>
  <c r="Q65" i="15"/>
  <c r="R65" i="15"/>
  <c r="W65" i="15"/>
  <c r="T65" i="15"/>
  <c r="P65" i="15" a="1"/>
  <c r="P65" i="15" s="1"/>
  <c r="O65" i="15" a="1"/>
  <c r="O65" i="15" s="1"/>
  <c r="L66" i="15" a="1"/>
  <c r="L66" i="15" s="1"/>
  <c r="M66" i="15" a="1"/>
  <c r="M66" i="15" s="1"/>
  <c r="K66" i="15" a="1"/>
  <c r="K66" i="15" s="1"/>
  <c r="F66" i="15"/>
  <c r="AD66" i="15" s="1"/>
  <c r="H67" i="15"/>
  <c r="AF67" i="15" s="1"/>
  <c r="E67" i="15" a="1"/>
  <c r="E67" i="15" s="1"/>
  <c r="G67" i="15" a="1"/>
  <c r="G67" i="15" s="1"/>
  <c r="J67" i="15" a="1"/>
  <c r="J67" i="15" s="1"/>
  <c r="N67" i="15" l="1" a="1"/>
  <c r="N67" i="15" s="1"/>
  <c r="D67" i="15"/>
  <c r="I67" i="15" s="1" a="1"/>
  <c r="I67" i="15" s="1"/>
  <c r="AJ67" i="15"/>
  <c r="AL67" i="15"/>
  <c r="AK67" i="15"/>
  <c r="AE67" i="15"/>
  <c r="AI67" i="15"/>
  <c r="AH67" i="15"/>
  <c r="AG67" i="15"/>
  <c r="Z66" i="15"/>
  <c r="Y66" i="15"/>
  <c r="AB66" i="15"/>
  <c r="AC66" i="15"/>
  <c r="AA66" i="15"/>
  <c r="X66" i="15"/>
  <c r="U66" i="15"/>
  <c r="V66" i="15"/>
  <c r="T66" i="15"/>
  <c r="Q66" i="15"/>
  <c r="R66" i="15"/>
  <c r="W66" i="15"/>
  <c r="S66" i="15"/>
  <c r="P66" i="15" a="1"/>
  <c r="P66" i="15" s="1"/>
  <c r="O66" i="15" a="1"/>
  <c r="O66" i="15" s="1"/>
  <c r="M67" i="15" a="1"/>
  <c r="M67" i="15" s="1"/>
  <c r="K67" i="15" a="1"/>
  <c r="K67" i="15" s="1"/>
  <c r="L67" i="15" a="1"/>
  <c r="L67" i="15" s="1"/>
  <c r="F67" i="15"/>
  <c r="AD67" i="15" s="1"/>
  <c r="G68" i="15" a="1"/>
  <c r="G68" i="15" s="1"/>
  <c r="H68" i="15"/>
  <c r="AF68" i="15" s="1"/>
  <c r="E68" i="15" a="1"/>
  <c r="E68" i="15" s="1"/>
  <c r="J68" i="15" a="1"/>
  <c r="J68" i="15" s="1"/>
  <c r="N68" i="15" l="1" a="1"/>
  <c r="N68" i="15" s="1"/>
  <c r="D68" i="15"/>
  <c r="I68" i="15" s="1" a="1"/>
  <c r="I68" i="15" s="1"/>
  <c r="AK68" i="15"/>
  <c r="AJ68" i="15"/>
  <c r="AL68" i="15"/>
  <c r="AE68" i="15"/>
  <c r="AG68" i="15"/>
  <c r="AI68" i="15"/>
  <c r="AH68" i="15"/>
  <c r="AC67" i="15"/>
  <c r="Z67" i="15"/>
  <c r="AA67" i="15"/>
  <c r="Y67" i="15"/>
  <c r="AB67" i="15"/>
  <c r="Q67" i="15"/>
  <c r="U67" i="15"/>
  <c r="T67" i="15"/>
  <c r="V67" i="15"/>
  <c r="S67" i="15"/>
  <c r="X67" i="15"/>
  <c r="W67" i="15"/>
  <c r="R67" i="15"/>
  <c r="O67" i="15" a="1"/>
  <c r="O67" i="15" s="1"/>
  <c r="P67" i="15" a="1"/>
  <c r="P67" i="15" s="1"/>
  <c r="K68" i="15" a="1"/>
  <c r="K68" i="15" s="1"/>
  <c r="L68" i="15" a="1"/>
  <c r="L68" i="15" s="1"/>
  <c r="M68" i="15" a="1"/>
  <c r="M68" i="15" s="1"/>
  <c r="F68" i="15"/>
  <c r="AD68" i="15" s="1"/>
  <c r="G69" i="15" a="1"/>
  <c r="G69" i="15" s="1"/>
  <c r="H69" i="15"/>
  <c r="AF69" i="15" s="1"/>
  <c r="E69" i="15" a="1"/>
  <c r="E69" i="15" s="1"/>
  <c r="J69" i="15" a="1"/>
  <c r="J69" i="15" s="1"/>
  <c r="D69" i="15" l="1"/>
  <c r="N69" i="15" a="1"/>
  <c r="N69" i="15" s="1"/>
  <c r="AL69" i="15"/>
  <c r="AK69" i="15"/>
  <c r="AJ69" i="15"/>
  <c r="AE69" i="15"/>
  <c r="AG69" i="15"/>
  <c r="AI69" i="15"/>
  <c r="AH69" i="15"/>
  <c r="AA68" i="15"/>
  <c r="Z68" i="15"/>
  <c r="AB68" i="15"/>
  <c r="AC68" i="15"/>
  <c r="Y68" i="15"/>
  <c r="R68" i="15"/>
  <c r="Q68" i="15"/>
  <c r="U68" i="15"/>
  <c r="V68" i="15"/>
  <c r="S68" i="15"/>
  <c r="W68" i="15"/>
  <c r="T68" i="15"/>
  <c r="X68" i="15"/>
  <c r="O68" i="15" a="1"/>
  <c r="O68" i="15" s="1"/>
  <c r="P68" i="15" a="1"/>
  <c r="P68" i="15" s="1"/>
  <c r="K69" i="15" a="1"/>
  <c r="K69" i="15" s="1"/>
  <c r="M69" i="15" a="1"/>
  <c r="M69" i="15" s="1"/>
  <c r="L69" i="15" a="1"/>
  <c r="L69" i="15" s="1"/>
  <c r="I69" i="15" a="1"/>
  <c r="I69" i="15" s="1"/>
  <c r="F69" i="15"/>
  <c r="AD69" i="15" s="1"/>
  <c r="E70" i="15" a="1"/>
  <c r="E70" i="15" s="1"/>
  <c r="G70" i="15" a="1"/>
  <c r="G70" i="15" s="1"/>
  <c r="H70" i="15"/>
  <c r="AF70" i="15" s="1"/>
  <c r="J70" i="15" a="1"/>
  <c r="J70" i="15" s="1"/>
  <c r="N70" i="15" l="1" a="1"/>
  <c r="N70" i="15" s="1"/>
  <c r="D70" i="15"/>
  <c r="I70" i="15" s="1" a="1"/>
  <c r="I70" i="15" s="1"/>
  <c r="AK70" i="15"/>
  <c r="AJ70" i="15"/>
  <c r="AL70" i="15"/>
  <c r="AE70" i="15"/>
  <c r="AG70" i="15"/>
  <c r="AI70" i="15"/>
  <c r="AH70" i="15"/>
  <c r="AA69" i="15"/>
  <c r="Z69" i="15"/>
  <c r="AB69" i="15"/>
  <c r="Y69" i="15"/>
  <c r="AC69" i="15"/>
  <c r="R69" i="15"/>
  <c r="Q69" i="15"/>
  <c r="V69" i="15"/>
  <c r="S69" i="15"/>
  <c r="T69" i="15"/>
  <c r="X69" i="15"/>
  <c r="W69" i="15"/>
  <c r="U69" i="15"/>
  <c r="P69" i="15" a="1"/>
  <c r="P69" i="15" s="1"/>
  <c r="O69" i="15" a="1"/>
  <c r="O69" i="15" s="1"/>
  <c r="K70" i="15" a="1"/>
  <c r="K70" i="15" s="1"/>
  <c r="L70" i="15" a="1"/>
  <c r="L70" i="15" s="1"/>
  <c r="M70" i="15" a="1"/>
  <c r="M70" i="15" s="1"/>
  <c r="F70" i="15"/>
  <c r="AD70" i="15" s="1"/>
  <c r="E71" i="15" a="1"/>
  <c r="E71" i="15" s="1"/>
  <c r="G71" i="15" a="1"/>
  <c r="G71" i="15" s="1"/>
  <c r="H71" i="15"/>
  <c r="AF71" i="15" s="1"/>
  <c r="J71" i="15" a="1"/>
  <c r="J71" i="15" s="1"/>
  <c r="N71" i="15" l="1" a="1"/>
  <c r="N71" i="15" s="1"/>
  <c r="D71" i="15"/>
  <c r="I71" i="15" s="1" a="1"/>
  <c r="I71" i="15" s="1"/>
  <c r="AL71" i="15"/>
  <c r="AK71" i="15"/>
  <c r="AJ71" i="15"/>
  <c r="AE71" i="15"/>
  <c r="AG71" i="15"/>
  <c r="AI71" i="15"/>
  <c r="AH71" i="15"/>
  <c r="AA70" i="15"/>
  <c r="Z70" i="15"/>
  <c r="AB70" i="15"/>
  <c r="AC70" i="15"/>
  <c r="Y70" i="15"/>
  <c r="T70" i="15"/>
  <c r="R70" i="15"/>
  <c r="W70" i="15"/>
  <c r="Q70" i="15"/>
  <c r="U70" i="15"/>
  <c r="V70" i="15"/>
  <c r="S70" i="15"/>
  <c r="X70" i="15"/>
  <c r="P70" i="15" a="1"/>
  <c r="P70" i="15" s="1"/>
  <c r="O70" i="15" a="1"/>
  <c r="O70" i="15" s="1"/>
  <c r="L71" i="15" a="1"/>
  <c r="L71" i="15" s="1"/>
  <c r="K71" i="15" a="1"/>
  <c r="K71" i="15" s="1"/>
  <c r="M71" i="15" a="1"/>
  <c r="M71" i="15" s="1"/>
  <c r="F71" i="15"/>
  <c r="AD71" i="15" s="1"/>
  <c r="E72" i="15" a="1"/>
  <c r="E72" i="15" s="1"/>
  <c r="H72" i="15"/>
  <c r="AF72" i="15" s="1"/>
  <c r="G72" i="15" a="1"/>
  <c r="G72" i="15" s="1"/>
  <c r="J72" i="15" a="1"/>
  <c r="J72" i="15" s="1"/>
  <c r="N72" i="15" l="1" a="1"/>
  <c r="N72" i="15" s="1"/>
  <c r="D72" i="15"/>
  <c r="I72" i="15" s="1" a="1"/>
  <c r="I72" i="15" s="1"/>
  <c r="AL72" i="15"/>
  <c r="AK72" i="15"/>
  <c r="AJ72" i="15"/>
  <c r="AE72" i="15"/>
  <c r="AG72" i="15"/>
  <c r="AI72" i="15"/>
  <c r="AH72" i="15"/>
  <c r="AB71" i="15"/>
  <c r="AA71" i="15"/>
  <c r="Z71" i="15"/>
  <c r="AC71" i="15"/>
  <c r="Y71" i="15"/>
  <c r="T71" i="15"/>
  <c r="W71" i="15"/>
  <c r="Q71" i="15"/>
  <c r="U71" i="15"/>
  <c r="V71" i="15"/>
  <c r="S71" i="15"/>
  <c r="X71" i="15"/>
  <c r="R71" i="15"/>
  <c r="P71" i="15" a="1"/>
  <c r="P71" i="15" s="1"/>
  <c r="O71" i="15" a="1"/>
  <c r="O71" i="15" s="1"/>
  <c r="M72" i="15" a="1"/>
  <c r="M72" i="15" s="1"/>
  <c r="L72" i="15" a="1"/>
  <c r="L72" i="15" s="1"/>
  <c r="K72" i="15" a="1"/>
  <c r="K72" i="15" s="1"/>
  <c r="F72" i="15"/>
  <c r="AD72" i="15" s="1"/>
  <c r="H73" i="15"/>
  <c r="AF73" i="15" s="1"/>
  <c r="G73" i="15" a="1"/>
  <c r="G73" i="15" s="1"/>
  <c r="E73" i="15" a="1"/>
  <c r="E73" i="15" s="1"/>
  <c r="J73" i="15" a="1"/>
  <c r="J73" i="15" s="1"/>
  <c r="D73" i="15" l="1"/>
  <c r="N73" i="15" a="1"/>
  <c r="N73" i="15" s="1"/>
  <c r="AL73" i="15"/>
  <c r="AK73" i="15"/>
  <c r="AJ73" i="15"/>
  <c r="AE73" i="15"/>
  <c r="AG73" i="15"/>
  <c r="AI73" i="15"/>
  <c r="AH73" i="15"/>
  <c r="Y72" i="15"/>
  <c r="AB72" i="15"/>
  <c r="AA72" i="15"/>
  <c r="Z72" i="15"/>
  <c r="AC72" i="15"/>
  <c r="T72" i="15"/>
  <c r="S72" i="15"/>
  <c r="W72" i="15"/>
  <c r="Q72" i="15"/>
  <c r="X72" i="15"/>
  <c r="U72" i="15"/>
  <c r="R72" i="15"/>
  <c r="V72" i="15"/>
  <c r="P72" i="15" a="1"/>
  <c r="P72" i="15" s="1"/>
  <c r="O72" i="15" a="1"/>
  <c r="O72" i="15" s="1"/>
  <c r="M73" i="15" a="1"/>
  <c r="M73" i="15" s="1"/>
  <c r="L73" i="15" a="1"/>
  <c r="L73" i="15" s="1"/>
  <c r="K73" i="15" a="1"/>
  <c r="K73" i="15" s="1"/>
  <c r="F73" i="15"/>
  <c r="AD73" i="15" s="1"/>
  <c r="I73" i="15" a="1"/>
  <c r="I73" i="15" s="1"/>
  <c r="G74" i="15" a="1"/>
  <c r="G74" i="15" s="1"/>
  <c r="E74" i="15" a="1"/>
  <c r="E74" i="15" s="1"/>
  <c r="H74" i="15"/>
  <c r="AF74" i="15" s="1"/>
  <c r="J74" i="15" a="1"/>
  <c r="J74" i="15" s="1"/>
  <c r="N74" i="15" l="1" a="1"/>
  <c r="N74" i="15" s="1"/>
  <c r="D74" i="15"/>
  <c r="I74" i="15" s="1" a="1"/>
  <c r="I74" i="15" s="1"/>
  <c r="AL74" i="15"/>
  <c r="AK74" i="15"/>
  <c r="AJ74" i="15"/>
  <c r="AE74" i="15"/>
  <c r="AG74" i="15"/>
  <c r="AH74" i="15"/>
  <c r="AI74" i="15"/>
  <c r="AB73" i="15"/>
  <c r="AA73" i="15"/>
  <c r="Z73" i="15"/>
  <c r="AC73" i="15"/>
  <c r="Y73" i="15"/>
  <c r="X73" i="15"/>
  <c r="S73" i="15"/>
  <c r="W73" i="15"/>
  <c r="U73" i="15"/>
  <c r="R73" i="15"/>
  <c r="V73" i="15"/>
  <c r="T73" i="15"/>
  <c r="Q73" i="15"/>
  <c r="P73" i="15" a="1"/>
  <c r="P73" i="15" s="1"/>
  <c r="O73" i="15" a="1"/>
  <c r="O73" i="15" s="1"/>
  <c r="M74" i="15" a="1"/>
  <c r="M74" i="15" s="1"/>
  <c r="L74" i="15" a="1"/>
  <c r="L74" i="15" s="1"/>
  <c r="K74" i="15" a="1"/>
  <c r="K74" i="15" s="1"/>
  <c r="F74" i="15"/>
  <c r="AD74" i="15" s="1"/>
  <c r="G75" i="15" a="1"/>
  <c r="G75" i="15" s="1"/>
  <c r="E75" i="15" a="1"/>
  <c r="E75" i="15" s="1"/>
  <c r="H75" i="15"/>
  <c r="AF75" i="15" s="1"/>
  <c r="J75" i="15" a="1"/>
  <c r="J75" i="15" s="1"/>
  <c r="N75" i="15" l="1" a="1"/>
  <c r="N75" i="15" s="1"/>
  <c r="D75" i="15"/>
  <c r="I75" i="15" s="1" a="1"/>
  <c r="I75" i="15" s="1"/>
  <c r="AL75" i="15"/>
  <c r="AK75" i="15"/>
  <c r="AJ75" i="15"/>
  <c r="AE75" i="15"/>
  <c r="AI75" i="15"/>
  <c r="AH75" i="15"/>
  <c r="AG75" i="15"/>
  <c r="AC74" i="15"/>
  <c r="AB74" i="15"/>
  <c r="AA74" i="15"/>
  <c r="Z74" i="15"/>
  <c r="Y74" i="15"/>
  <c r="V74" i="15"/>
  <c r="X74" i="15"/>
  <c r="S74" i="15"/>
  <c r="W74" i="15"/>
  <c r="U74" i="15"/>
  <c r="R74" i="15"/>
  <c r="T74" i="15"/>
  <c r="Q74" i="15"/>
  <c r="P74" i="15" a="1"/>
  <c r="P74" i="15" s="1"/>
  <c r="O74" i="15" a="1"/>
  <c r="O74" i="15" s="1"/>
  <c r="M75" i="15" a="1"/>
  <c r="M75" i="15" s="1"/>
  <c r="L75" i="15" a="1"/>
  <c r="L75" i="15" s="1"/>
  <c r="K75" i="15" a="1"/>
  <c r="K75" i="15" s="1"/>
  <c r="E76" i="15" a="1"/>
  <c r="E76" i="15" s="1"/>
  <c r="H76" i="15"/>
  <c r="AF76" i="15" s="1"/>
  <c r="G76" i="15" a="1"/>
  <c r="G76" i="15" s="1"/>
  <c r="J76" i="15" a="1"/>
  <c r="J76" i="15" s="1"/>
  <c r="F75" i="15"/>
  <c r="AD75" i="15" s="1"/>
  <c r="N76" i="15" l="1" a="1"/>
  <c r="N76" i="15" s="1"/>
  <c r="D76" i="15"/>
  <c r="I76" i="15" s="1" a="1"/>
  <c r="I76" i="15" s="1"/>
  <c r="AJ76" i="15"/>
  <c r="AL76" i="15"/>
  <c r="AK76" i="15"/>
  <c r="AE76" i="15"/>
  <c r="AG76" i="15"/>
  <c r="AI76" i="15"/>
  <c r="AH76" i="15"/>
  <c r="Z75" i="15"/>
  <c r="AC75" i="15"/>
  <c r="AB75" i="15"/>
  <c r="AA75" i="15"/>
  <c r="Y75" i="15"/>
  <c r="V75" i="15"/>
  <c r="X75" i="15"/>
  <c r="S75" i="15"/>
  <c r="U75" i="15"/>
  <c r="R75" i="15"/>
  <c r="W75" i="15"/>
  <c r="T75" i="15"/>
  <c r="Q75" i="15"/>
  <c r="P75" i="15" a="1"/>
  <c r="P75" i="15" s="1"/>
  <c r="O75" i="15" a="1"/>
  <c r="O75" i="15" s="1"/>
  <c r="M76" i="15" a="1"/>
  <c r="M76" i="15" s="1"/>
  <c r="L76" i="15" a="1"/>
  <c r="L76" i="15" s="1"/>
  <c r="K76" i="15" a="1"/>
  <c r="K76" i="15" s="1"/>
  <c r="F76" i="15"/>
  <c r="AD76" i="15" s="1"/>
  <c r="E77" i="15" a="1"/>
  <c r="E77" i="15" s="1"/>
  <c r="H77" i="15"/>
  <c r="AF77" i="15" s="1"/>
  <c r="G77" i="15" a="1"/>
  <c r="G77" i="15" s="1"/>
  <c r="J77" i="15" a="1"/>
  <c r="J77" i="15" s="1"/>
  <c r="N77" i="15" l="1" a="1"/>
  <c r="N77" i="15" s="1"/>
  <c r="D77" i="15"/>
  <c r="I77" i="15" s="1" a="1"/>
  <c r="I77" i="15" s="1"/>
  <c r="AL77" i="15"/>
  <c r="AK77" i="15"/>
  <c r="AJ77" i="15"/>
  <c r="AE77" i="15"/>
  <c r="AG77" i="15"/>
  <c r="AI77" i="15"/>
  <c r="AH77" i="15"/>
  <c r="AC76" i="15"/>
  <c r="AB76" i="15"/>
  <c r="AA76" i="15"/>
  <c r="Z76" i="15"/>
  <c r="Y76" i="15"/>
  <c r="U76" i="15"/>
  <c r="V76" i="15"/>
  <c r="X76" i="15"/>
  <c r="R76" i="15"/>
  <c r="S76" i="15"/>
  <c r="W76" i="15"/>
  <c r="T76" i="15"/>
  <c r="Q76" i="15"/>
  <c r="P76" i="15" a="1"/>
  <c r="P76" i="15" s="1"/>
  <c r="O76" i="15" a="1"/>
  <c r="O76" i="15" s="1"/>
  <c r="M77" i="15" a="1"/>
  <c r="M77" i="15" s="1"/>
  <c r="K77" i="15" a="1"/>
  <c r="K77" i="15" s="1"/>
  <c r="L77" i="15" a="1"/>
  <c r="L77" i="15" s="1"/>
  <c r="F77" i="15"/>
  <c r="AD77" i="15" s="1"/>
  <c r="H78" i="15"/>
  <c r="AF78" i="15" s="1"/>
  <c r="E78" i="15" a="1"/>
  <c r="E78" i="15" s="1"/>
  <c r="N78" i="15" s="1" a="1"/>
  <c r="N78" i="15" s="1"/>
  <c r="G78" i="15" a="1"/>
  <c r="G78" i="15" s="1"/>
  <c r="J78" i="15" a="1"/>
  <c r="J78" i="15" s="1"/>
  <c r="D78" i="15" l="1"/>
  <c r="AL78" i="15"/>
  <c r="AK78" i="15"/>
  <c r="AJ78" i="15"/>
  <c r="AE78" i="15"/>
  <c r="AG78" i="15"/>
  <c r="AI78" i="15"/>
  <c r="AH78" i="15"/>
  <c r="AC77" i="15"/>
  <c r="AB77" i="15"/>
  <c r="AA77" i="15"/>
  <c r="Z77" i="15"/>
  <c r="Y77" i="15"/>
  <c r="U77" i="15"/>
  <c r="R77" i="15"/>
  <c r="X77" i="15"/>
  <c r="S77" i="15"/>
  <c r="V77" i="15"/>
  <c r="W77" i="15"/>
  <c r="T77" i="15"/>
  <c r="Q77" i="15"/>
  <c r="P77" i="15" a="1"/>
  <c r="P77" i="15" s="1"/>
  <c r="O77" i="15" a="1"/>
  <c r="O77" i="15" s="1"/>
  <c r="K78" i="15" a="1"/>
  <c r="K78" i="15" s="1"/>
  <c r="M78" i="15" a="1"/>
  <c r="M78" i="15" s="1"/>
  <c r="L78" i="15" a="1"/>
  <c r="L78" i="15" s="1"/>
  <c r="I78" i="15" a="1"/>
  <c r="I78" i="15" s="1"/>
  <c r="F78" i="15"/>
  <c r="AD78" i="15" s="1"/>
  <c r="H79" i="15"/>
  <c r="AF79" i="15" s="1"/>
  <c r="E79" i="15" a="1"/>
  <c r="E79" i="15" s="1"/>
  <c r="G79" i="15" a="1"/>
  <c r="G79" i="15" s="1"/>
  <c r="J79" i="15" a="1"/>
  <c r="J79" i="15" s="1"/>
  <c r="D79" i="15" l="1"/>
  <c r="N79" i="15" a="1"/>
  <c r="N79" i="15" s="1"/>
  <c r="AL79" i="15"/>
  <c r="AK79" i="15"/>
  <c r="AJ79" i="15"/>
  <c r="AE79" i="15"/>
  <c r="AI79" i="15"/>
  <c r="AH79" i="15"/>
  <c r="AG79" i="15"/>
  <c r="AA78" i="15"/>
  <c r="Z78" i="15"/>
  <c r="AC78" i="15"/>
  <c r="AB78" i="15"/>
  <c r="Y78" i="15"/>
  <c r="Q78" i="15"/>
  <c r="U78" i="15"/>
  <c r="R78" i="15"/>
  <c r="W78" i="15"/>
  <c r="T78" i="15"/>
  <c r="X78" i="15"/>
  <c r="S78" i="15"/>
  <c r="V78" i="15"/>
  <c r="P78" i="15" a="1"/>
  <c r="P78" i="15" s="1"/>
  <c r="O78" i="15" a="1"/>
  <c r="O78" i="15" s="1"/>
  <c r="K79" i="15" a="1"/>
  <c r="K79" i="15" s="1"/>
  <c r="M79" i="15" a="1"/>
  <c r="M79" i="15" s="1"/>
  <c r="L79" i="15" a="1"/>
  <c r="L79" i="15" s="1"/>
  <c r="I79" i="15" a="1"/>
  <c r="I79" i="15" s="1"/>
  <c r="F79" i="15"/>
  <c r="AD79" i="15" s="1"/>
  <c r="G80" i="15" a="1"/>
  <c r="G80" i="15" s="1"/>
  <c r="H80" i="15"/>
  <c r="AF80" i="15" s="1"/>
  <c r="E80" i="15" a="1"/>
  <c r="E80" i="15" s="1"/>
  <c r="J80" i="15" a="1"/>
  <c r="J80" i="15" s="1"/>
  <c r="N80" i="15" l="1" a="1"/>
  <c r="N80" i="15" s="1"/>
  <c r="D80" i="15"/>
  <c r="I80" i="15" s="1" a="1"/>
  <c r="I80" i="15" s="1"/>
  <c r="AL80" i="15"/>
  <c r="AK80" i="15"/>
  <c r="AJ80" i="15"/>
  <c r="AE80" i="15"/>
  <c r="AG80" i="15"/>
  <c r="AH80" i="15"/>
  <c r="AI80" i="15"/>
  <c r="AC79" i="15"/>
  <c r="AB79" i="15"/>
  <c r="AA79" i="15"/>
  <c r="Z79" i="15"/>
  <c r="Y79" i="15"/>
  <c r="Q79" i="15"/>
  <c r="T79" i="15"/>
  <c r="R79" i="15"/>
  <c r="W79" i="15"/>
  <c r="X79" i="15"/>
  <c r="S79" i="15"/>
  <c r="U79" i="15"/>
  <c r="V79" i="15"/>
  <c r="P79" i="15" a="1"/>
  <c r="P79" i="15" s="1"/>
  <c r="O79" i="15" a="1"/>
  <c r="O79" i="15" s="1"/>
  <c r="L80" i="15" a="1"/>
  <c r="L80" i="15" s="1"/>
  <c r="M80" i="15" a="1"/>
  <c r="M80" i="15" s="1"/>
  <c r="K80" i="15" a="1"/>
  <c r="K80" i="15" s="1"/>
  <c r="F80" i="15"/>
  <c r="AD80" i="15" s="1"/>
  <c r="G81" i="15" a="1"/>
  <c r="G81" i="15" s="1"/>
  <c r="E81" i="15" a="1"/>
  <c r="E81" i="15" s="1"/>
  <c r="H81" i="15"/>
  <c r="AF81" i="15" s="1"/>
  <c r="J81" i="15" a="1"/>
  <c r="J81" i="15" s="1"/>
  <c r="N81" i="15" l="1" a="1"/>
  <c r="N81" i="15" s="1"/>
  <c r="D81" i="15"/>
  <c r="AL81" i="15"/>
  <c r="AK81" i="15"/>
  <c r="AJ81" i="15"/>
  <c r="AE81" i="15"/>
  <c r="AH81" i="15"/>
  <c r="AG81" i="15"/>
  <c r="AI81" i="15"/>
  <c r="AB80" i="15"/>
  <c r="AC80" i="15"/>
  <c r="AA80" i="15"/>
  <c r="Z80" i="15"/>
  <c r="Y80" i="15"/>
  <c r="Q80" i="15"/>
  <c r="T80" i="15"/>
  <c r="R80" i="15"/>
  <c r="W80" i="15"/>
  <c r="X80" i="15"/>
  <c r="S80" i="15"/>
  <c r="U80" i="15"/>
  <c r="V80" i="15"/>
  <c r="P80" i="15" a="1"/>
  <c r="P80" i="15" s="1"/>
  <c r="O80" i="15" a="1"/>
  <c r="O80" i="15" s="1"/>
  <c r="K81" i="15" a="1"/>
  <c r="K81" i="15" s="1"/>
  <c r="M81" i="15" a="1"/>
  <c r="M81" i="15" s="1"/>
  <c r="L81" i="15" a="1"/>
  <c r="L81" i="15" s="1"/>
  <c r="I81" i="15" a="1"/>
  <c r="I81" i="15" s="1"/>
  <c r="F81" i="15"/>
  <c r="AD81" i="15" s="1"/>
  <c r="E82" i="15" a="1"/>
  <c r="E82" i="15" s="1"/>
  <c r="G82" i="15" a="1"/>
  <c r="G82" i="15" s="1"/>
  <c r="H82" i="15"/>
  <c r="AF82" i="15" s="1"/>
  <c r="J82" i="15" a="1"/>
  <c r="J82" i="15" s="1"/>
  <c r="N82" i="15" l="1" a="1"/>
  <c r="N82" i="15" s="1"/>
  <c r="D82" i="15"/>
  <c r="I82" i="15" s="1" a="1"/>
  <c r="I82" i="15" s="1"/>
  <c r="AL82" i="15"/>
  <c r="AK82" i="15"/>
  <c r="AJ82" i="15"/>
  <c r="AE82" i="15"/>
  <c r="AH82" i="15"/>
  <c r="AG82" i="15"/>
  <c r="AI82" i="15"/>
  <c r="AB81" i="15"/>
  <c r="AA81" i="15"/>
  <c r="AC81" i="15"/>
  <c r="Z81" i="15"/>
  <c r="Y81" i="15"/>
  <c r="W81" i="15"/>
  <c r="T81" i="15"/>
  <c r="V81" i="15"/>
  <c r="R81" i="15"/>
  <c r="X81" i="15"/>
  <c r="S81" i="15"/>
  <c r="Q81" i="15"/>
  <c r="U81" i="15"/>
  <c r="P81" i="15" a="1"/>
  <c r="P81" i="15" s="1"/>
  <c r="O81" i="15" a="1"/>
  <c r="O81" i="15" s="1"/>
  <c r="M82" i="15" a="1"/>
  <c r="M82" i="15" s="1"/>
  <c r="L82" i="15" a="1"/>
  <c r="L82" i="15" s="1"/>
  <c r="K82" i="15" a="1"/>
  <c r="K82" i="15" s="1"/>
  <c r="F82" i="15"/>
  <c r="AD82" i="15" s="1"/>
  <c r="H83" i="15"/>
  <c r="AF83" i="15" s="1"/>
  <c r="G83" i="15" a="1"/>
  <c r="G83" i="15" s="1"/>
  <c r="E83" i="15" a="1"/>
  <c r="E83" i="15" s="1"/>
  <c r="J83" i="15" a="1"/>
  <c r="J83" i="15" s="1"/>
  <c r="D83" i="15" l="1"/>
  <c r="N83" i="15" a="1"/>
  <c r="N83" i="15" s="1"/>
  <c r="AL83" i="15"/>
  <c r="AK83" i="15"/>
  <c r="AJ83" i="15"/>
  <c r="AE83" i="15"/>
  <c r="AI83" i="15"/>
  <c r="AH83" i="15"/>
  <c r="AG83" i="15"/>
  <c r="Y82" i="15"/>
  <c r="AB82" i="15"/>
  <c r="AA82" i="15"/>
  <c r="AC82" i="15"/>
  <c r="Z82" i="15"/>
  <c r="W82" i="15"/>
  <c r="T82" i="15"/>
  <c r="Q82" i="15"/>
  <c r="U82" i="15"/>
  <c r="V82" i="15"/>
  <c r="R82" i="15"/>
  <c r="X82" i="15"/>
  <c r="S82" i="15"/>
  <c r="O82" i="15" a="1"/>
  <c r="O82" i="15" s="1"/>
  <c r="P82" i="15" a="1"/>
  <c r="P82" i="15" s="1"/>
  <c r="L83" i="15" a="1"/>
  <c r="L83" i="15" s="1"/>
  <c r="M83" i="15" a="1"/>
  <c r="M83" i="15" s="1"/>
  <c r="K83" i="15" a="1"/>
  <c r="K83" i="15" s="1"/>
  <c r="F83" i="15"/>
  <c r="AD83" i="15" s="1"/>
  <c r="I83" i="15" a="1"/>
  <c r="I83" i="15" s="1"/>
  <c r="H84" i="15"/>
  <c r="AF84" i="15" s="1"/>
  <c r="E84" i="15" a="1"/>
  <c r="E84" i="15" s="1"/>
  <c r="N84" i="15" s="1" a="1"/>
  <c r="N84" i="15" s="1"/>
  <c r="G84" i="15" a="1"/>
  <c r="G84" i="15" s="1"/>
  <c r="J84" i="15" a="1"/>
  <c r="J84" i="15" s="1"/>
  <c r="D84" i="15" l="1"/>
  <c r="I84" i="15" s="1" a="1"/>
  <c r="I84" i="15" s="1"/>
  <c r="AL84" i="15"/>
  <c r="AK84" i="15"/>
  <c r="AJ84" i="15"/>
  <c r="AE84" i="15"/>
  <c r="AI84" i="15"/>
  <c r="AH84" i="15"/>
  <c r="AG84" i="15"/>
  <c r="Y83" i="15"/>
  <c r="AB83" i="15"/>
  <c r="AA83" i="15"/>
  <c r="AC83" i="15"/>
  <c r="Z83" i="15"/>
  <c r="S83" i="15"/>
  <c r="W83" i="15"/>
  <c r="V83" i="15"/>
  <c r="Q83" i="15"/>
  <c r="U83" i="15"/>
  <c r="T83" i="15"/>
  <c r="R83" i="15"/>
  <c r="X83" i="15"/>
  <c r="P83" i="15" a="1"/>
  <c r="P83" i="15" s="1"/>
  <c r="O83" i="15" a="1"/>
  <c r="O83" i="15" s="1"/>
  <c r="M84" i="15" a="1"/>
  <c r="M84" i="15" s="1"/>
  <c r="L84" i="15" a="1"/>
  <c r="L84" i="15" s="1"/>
  <c r="K84" i="15" a="1"/>
  <c r="K84" i="15" s="1"/>
  <c r="F84" i="15"/>
  <c r="AD84" i="15" s="1"/>
  <c r="E85" i="15" a="1"/>
  <c r="E85" i="15" s="1"/>
  <c r="G85" i="15" a="1"/>
  <c r="G85" i="15" s="1"/>
  <c r="H85" i="15"/>
  <c r="AF85" i="15" s="1"/>
  <c r="J85" i="15" a="1"/>
  <c r="J85" i="15" s="1"/>
  <c r="N85" i="15" l="1" a="1"/>
  <c r="N85" i="15" s="1"/>
  <c r="D85" i="15"/>
  <c r="I85" i="15" s="1" a="1"/>
  <c r="I85" i="15" s="1"/>
  <c r="AJ85" i="15"/>
  <c r="AK85" i="15"/>
  <c r="AL85" i="15"/>
  <c r="AE85" i="15"/>
  <c r="AI85" i="15"/>
  <c r="AH85" i="15"/>
  <c r="AG85" i="15"/>
  <c r="AC84" i="15"/>
  <c r="AB84" i="15"/>
  <c r="Y84" i="15"/>
  <c r="AA84" i="15"/>
  <c r="Z84" i="15"/>
  <c r="X84" i="15"/>
  <c r="S84" i="15"/>
  <c r="V84" i="15"/>
  <c r="Q84" i="15"/>
  <c r="U84" i="15"/>
  <c r="T84" i="15"/>
  <c r="W84" i="15"/>
  <c r="R84" i="15"/>
  <c r="O84" i="15" a="1"/>
  <c r="O84" i="15" s="1"/>
  <c r="P84" i="15" a="1"/>
  <c r="P84" i="15" s="1"/>
  <c r="M85" i="15" a="1"/>
  <c r="M85" i="15" s="1"/>
  <c r="L85" i="15" a="1"/>
  <c r="L85" i="15" s="1"/>
  <c r="K85" i="15" a="1"/>
  <c r="K85" i="15" s="1"/>
  <c r="F85" i="15"/>
  <c r="AD85" i="15" s="1"/>
  <c r="R43" i="14" l="1" a="1"/>
  <c r="R43" i="14" s="1"/>
  <c r="AF45" i="15"/>
  <c r="R41" i="14" a="1"/>
  <c r="R41" i="14" s="1"/>
  <c r="AF50" i="15"/>
  <c r="AI46" i="15"/>
  <c r="T39" i="14" a="1"/>
  <c r="T39" i="14" s="1"/>
  <c r="AG48" i="15"/>
  <c r="AH45" i="15"/>
  <c r="R40" i="14" a="1"/>
  <c r="R40" i="14" s="1"/>
  <c r="T40" i="14" a="1"/>
  <c r="T40" i="14" s="1"/>
  <c r="AG45" i="15"/>
  <c r="AG47" i="15"/>
  <c r="AI50" i="15"/>
  <c r="AE47" i="15"/>
  <c r="AE46" i="15"/>
  <c r="AH46" i="15"/>
  <c r="S43" i="14" a="1"/>
  <c r="S43" i="14" s="1"/>
  <c r="S39" i="14" a="1"/>
  <c r="S39" i="14" s="1"/>
  <c r="AG50" i="15"/>
  <c r="AF47" i="15"/>
  <c r="S42" i="14" a="1"/>
  <c r="S42" i="14" s="1"/>
  <c r="AI47" i="15"/>
  <c r="AI45" i="15"/>
  <c r="AH47" i="15"/>
  <c r="AH50" i="15"/>
  <c r="AG44" i="15"/>
  <c r="AI44" i="15"/>
  <c r="AI48" i="15"/>
  <c r="AH48" i="15"/>
  <c r="AH44" i="15"/>
  <c r="AF46" i="15"/>
  <c r="T41" i="14" a="1"/>
  <c r="T41" i="14" s="1"/>
  <c r="AE48" i="15"/>
  <c r="S40" i="14" a="1"/>
  <c r="S40" i="14" s="1"/>
  <c r="AE50" i="15"/>
  <c r="AF48" i="15"/>
  <c r="T42" i="14" a="1"/>
  <c r="T42" i="14" s="1"/>
  <c r="AF44" i="15"/>
  <c r="S41" i="14" a="1"/>
  <c r="S41" i="14" s="1"/>
  <c r="AE45" i="15"/>
  <c r="R39" i="14" a="1"/>
  <c r="R39" i="14" s="1"/>
  <c r="AG46" i="15"/>
  <c r="AE44" i="15"/>
  <c r="R42" i="14" a="1"/>
  <c r="R42" i="14" s="1"/>
  <c r="T43" i="14" a="1"/>
  <c r="T43" i="14" s="1"/>
  <c r="AG19" i="15"/>
  <c r="AF19" i="15"/>
  <c r="AH19" i="15"/>
  <c r="AI18" i="15"/>
  <c r="AE19" i="15"/>
  <c r="AF20" i="15"/>
  <c r="AF18" i="15"/>
  <c r="AH18" i="15"/>
  <c r="AG18" i="15"/>
  <c r="AE18" i="15"/>
  <c r="AI19" i="15"/>
  <c r="AF14" i="15"/>
  <c r="AI20" i="15"/>
  <c r="AG15" i="15"/>
  <c r="AE20" i="15"/>
  <c r="AG20" i="15"/>
  <c r="AE27" i="15"/>
  <c r="AE15" i="15"/>
  <c r="AF28" i="15"/>
  <c r="AI24" i="15"/>
  <c r="AI21" i="15"/>
  <c r="AF21" i="15"/>
  <c r="AH20" i="15"/>
  <c r="AF15" i="15"/>
  <c r="AE17" i="15"/>
  <c r="AH15" i="15"/>
  <c r="AI29" i="15"/>
  <c r="AI15" i="15"/>
  <c r="AH26" i="15"/>
  <c r="AH17" i="15"/>
  <c r="AG21" i="15"/>
  <c r="AI23" i="15"/>
  <c r="AF23" i="15"/>
  <c r="AE28" i="15"/>
  <c r="AI27" i="15"/>
  <c r="AI28" i="15"/>
  <c r="AF26" i="15"/>
  <c r="AE29" i="15"/>
  <c r="AF22" i="15"/>
  <c r="AF29" i="15"/>
  <c r="AE24" i="15"/>
  <c r="AH21" i="15"/>
  <c r="AH16" i="15"/>
  <c r="AI17" i="15"/>
  <c r="AH23" i="15"/>
  <c r="AG14" i="15"/>
  <c r="AI16" i="15"/>
  <c r="AI30" i="15"/>
  <c r="AG29" i="15"/>
  <c r="AH29" i="15"/>
  <c r="AE30" i="15"/>
  <c r="AG28" i="15"/>
  <c r="AG26" i="15"/>
  <c r="AE21" i="15"/>
  <c r="AH30" i="15"/>
  <c r="AG23" i="15"/>
  <c r="AF16" i="15"/>
  <c r="AH28" i="15"/>
  <c r="AH24" i="15"/>
  <c r="AG30" i="15"/>
  <c r="AG27" i="15"/>
  <c r="AF17" i="15"/>
  <c r="AF27" i="15"/>
  <c r="AG22" i="15"/>
  <c r="AE26" i="15"/>
  <c r="AH22" i="15"/>
  <c r="AG24" i="15"/>
  <c r="AI22" i="15"/>
  <c r="AH27" i="15"/>
  <c r="AE23" i="15"/>
  <c r="AI14" i="15"/>
  <c r="AG16" i="15"/>
  <c r="AG17" i="15"/>
  <c r="AF30" i="15"/>
  <c r="AE22" i="15"/>
  <c r="AE14" i="15"/>
  <c r="AH14" i="15"/>
  <c r="AI26" i="15"/>
  <c r="AF24" i="15"/>
  <c r="AE16" i="15"/>
  <c r="AF42" i="15"/>
  <c r="AF41" i="15"/>
  <c r="AJ41" i="15" s="1"/>
  <c r="Z85" i="15"/>
  <c r="Y85" i="15"/>
  <c r="AB85" i="15"/>
  <c r="AC85" i="15"/>
  <c r="AA85" i="15"/>
  <c r="X85" i="15"/>
  <c r="S85" i="15"/>
  <c r="U85" i="15"/>
  <c r="V85" i="15"/>
  <c r="Q85" i="15"/>
  <c r="T85" i="15"/>
  <c r="W85" i="15"/>
  <c r="R85" i="15"/>
  <c r="O85" i="15" a="1"/>
  <c r="O85" i="15" s="1"/>
  <c r="P85" i="15" a="1"/>
  <c r="P85" i="15" s="1"/>
  <c r="AJ44" i="15" l="1"/>
  <c r="S44" i="14"/>
  <c r="T44" i="14"/>
  <c r="AJ50" i="15"/>
  <c r="AJ45" i="15"/>
  <c r="AY33" i="15"/>
  <c r="AK47" i="15"/>
  <c r="AL47" i="15"/>
  <c r="Q39" i="14" a="1"/>
  <c r="Q39" i="14" s="1"/>
  <c r="AX29" i="15" s="1"/>
  <c r="AY29" i="15"/>
  <c r="AJ47" i="15"/>
  <c r="AY32" i="15"/>
  <c r="Q42" i="14" a="1"/>
  <c r="Q42" i="14" s="1"/>
  <c r="AX32" i="15" s="1"/>
  <c r="AK45" i="15"/>
  <c r="AL45" i="15"/>
  <c r="AK50" i="15"/>
  <c r="AL50" i="15"/>
  <c r="AJ48" i="15"/>
  <c r="AJ46" i="15"/>
  <c r="Q40" i="14" a="1"/>
  <c r="Q40" i="14" s="1"/>
  <c r="AX30" i="15" s="1"/>
  <c r="AY30" i="15"/>
  <c r="AK48" i="15"/>
  <c r="AL48" i="15"/>
  <c r="R44" i="14"/>
  <c r="AK44" i="15"/>
  <c r="AL44" i="15"/>
  <c r="Q43" i="14" a="1"/>
  <c r="Q43" i="14" s="1"/>
  <c r="AX33" i="15" s="1"/>
  <c r="AL46" i="15"/>
  <c r="AK46" i="15"/>
  <c r="Q41" i="14" a="1"/>
  <c r="Q41" i="14" s="1"/>
  <c r="AX31" i="15" s="1"/>
  <c r="AY31" i="15"/>
  <c r="AQ17" i="15"/>
  <c r="AQ19" i="15"/>
  <c r="AQ20" i="15"/>
  <c r="AQ16" i="15"/>
  <c r="H44" i="14"/>
  <c r="G44" i="14"/>
  <c r="F44" i="14"/>
  <c r="AJ27" i="15"/>
  <c r="AJ42" i="15"/>
  <c r="AL42" i="15"/>
  <c r="AJ20" i="15"/>
  <c r="AK42" i="15"/>
  <c r="AJ14" i="15"/>
  <c r="AJ28" i="15"/>
  <c r="AK18" i="15"/>
  <c r="AL18" i="15"/>
  <c r="AJ17" i="15"/>
  <c r="AJ21" i="15"/>
  <c r="AJ29" i="15"/>
  <c r="AL21" i="15"/>
  <c r="AK21" i="15"/>
  <c r="AL24" i="15"/>
  <c r="AK24" i="15"/>
  <c r="AJ22" i="15"/>
  <c r="AJ16" i="15"/>
  <c r="AL28" i="15"/>
  <c r="AK28" i="15"/>
  <c r="AL27" i="15"/>
  <c r="AK27" i="15"/>
  <c r="AJ19" i="15"/>
  <c r="AJ24" i="15"/>
  <c r="AK26" i="15"/>
  <c r="AL26" i="15"/>
  <c r="AJ26" i="15"/>
  <c r="AJ30" i="15"/>
  <c r="AJ23" i="15"/>
  <c r="AK20" i="15"/>
  <c r="AL20" i="15"/>
  <c r="AK22" i="15"/>
  <c r="AL22" i="15"/>
  <c r="AL30" i="15"/>
  <c r="AK30" i="15"/>
  <c r="AK15" i="15"/>
  <c r="AL15" i="15"/>
  <c r="AK16" i="15"/>
  <c r="AL16" i="15"/>
  <c r="AK29" i="15"/>
  <c r="AL29" i="15"/>
  <c r="AJ18" i="15"/>
  <c r="AK17" i="15"/>
  <c r="AL17" i="15"/>
  <c r="AJ15" i="15"/>
  <c r="AL23" i="15"/>
  <c r="AK23" i="15"/>
  <c r="AK14" i="15"/>
  <c r="AL14" i="15"/>
  <c r="AK19" i="15"/>
  <c r="AL19" i="15"/>
  <c r="AQ18" i="15"/>
  <c r="AK41" i="15"/>
  <c r="AL41" i="15"/>
  <c r="AY34" i="15" l="1"/>
  <c r="Q44" i="14"/>
  <c r="AX34" i="15" s="1"/>
  <c r="AR21" i="15"/>
  <c r="E44" i="14"/>
  <c r="AQ21" i="15" s="1"/>
  <c r="AQ35" i="15"/>
  <c r="K44" i="14" l="1"/>
  <c r="AQ34" i="15" s="1"/>
  <c r="K39" i="14" a="1"/>
  <c r="K39" i="14" s="1"/>
  <c r="AQ29" i="15" s="1"/>
  <c r="K40" i="14" a="1"/>
  <c r="K40" i="14" s="1"/>
  <c r="AQ30" i="15" s="1"/>
  <c r="K43" i="14" a="1"/>
  <c r="K43" i="14" s="1"/>
  <c r="AQ33" i="15" s="1"/>
  <c r="K42" i="14" a="1"/>
  <c r="K42" i="14" s="1"/>
  <c r="AQ32" i="15" s="1"/>
  <c r="K41" i="14" a="1"/>
  <c r="K41" i="14" s="1"/>
  <c r="AQ31"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<sst xmlns="http://schemas.openxmlformats.org/spreadsheetml/2006/main" count="965" uniqueCount="355">
  <si>
    <t xml:space="preserve"> General</t>
  </si>
  <si>
    <t>Starting Year:</t>
  </si>
  <si>
    <t>Set the starting year (yyyy) once at the beginning and do not change it again.</t>
  </si>
  <si>
    <t>Budget Tracking &amp; Dashboard</t>
  </si>
  <si>
    <t>Late Monthly Income</t>
  </si>
  <si>
    <t>Shift Late Income:</t>
  </si>
  <si>
    <t>Active</t>
  </si>
  <si>
    <t>Activate this option to treat late income received on or after a certain day of the month as income for the next month. This especially recommended in case you receive your monthly paycheck towards the end of the month and prefer to consider this income as the disposable income for the next month.</t>
  </si>
  <si>
    <t>Starting on day x in month:</t>
  </si>
  <si>
    <t>KPI Calculation in Dashboard</t>
  </si>
  <si>
    <t>Savings Rate as % of Income:</t>
  </si>
  <si>
    <t>% allocated to Savings</t>
  </si>
  <si>
    <t xml:space="preserve">Choose how you want the savings rate (SR) to be calculated in the dashboard KPI tiles:
1) Active Option (% allocated to Savings):SR =                    Savings / Income
2) Passive Option (% not allocated to Expenses):               SR = (Income - Expenses) / Income
</t>
  </si>
  <si>
    <t xml:space="preserve"> </t>
  </si>
  <si>
    <t>Automated Process</t>
  </si>
  <si>
    <t>Payment Type Selection:</t>
  </si>
  <si>
    <t>Cash</t>
  </si>
  <si>
    <t xml:space="preserve">Choose the right payment type to be added through the automated process :
1) Cash
2) Card
</t>
  </si>
  <si>
    <r>
      <t xml:space="preserve">Define starting year in Settings </t>
    </r>
    <r>
      <rPr>
        <sz val="11"/>
        <color theme="0" tint="-0.249977111117893"/>
        <rFont val="Aptos Narrow"/>
        <family val="2"/>
      </rPr>
      <t>→</t>
    </r>
  </si>
  <si>
    <t>To be allocated:</t>
  </si>
  <si>
    <t>Income</t>
  </si>
  <si>
    <t>E-Commerce Business</t>
  </si>
  <si>
    <t>WoodWork</t>
  </si>
  <si>
    <t>RCG INTERNATIONAL</t>
  </si>
  <si>
    <t>Enter Income Category …</t>
  </si>
  <si>
    <t>Enter Income Category ...</t>
  </si>
  <si>
    <t>Total</t>
  </si>
  <si>
    <t>Expenses</t>
  </si>
  <si>
    <t>Groceries</t>
  </si>
  <si>
    <t>Dining_Out</t>
  </si>
  <si>
    <t>Shopping</t>
  </si>
  <si>
    <t>GYM_Membership</t>
  </si>
  <si>
    <t>Personal_Care</t>
  </si>
  <si>
    <t>Transportation</t>
  </si>
  <si>
    <t>Utilities</t>
  </si>
  <si>
    <t>Electronics</t>
  </si>
  <si>
    <t>Entertainment</t>
  </si>
  <si>
    <t>SKI</t>
  </si>
  <si>
    <t>Donation</t>
  </si>
  <si>
    <t>Car_Maintenance_Mazda</t>
  </si>
  <si>
    <t>Car_Maintenance_Opel</t>
  </si>
  <si>
    <t>Home_Items</t>
  </si>
  <si>
    <t>Health</t>
  </si>
  <si>
    <t>WoodWork_Workshop</t>
  </si>
  <si>
    <t>Tosrif</t>
  </si>
  <si>
    <t>Self_Improvement</t>
  </si>
  <si>
    <t>Education</t>
  </si>
  <si>
    <t>Family_Support</t>
  </si>
  <si>
    <t>Insurance</t>
  </si>
  <si>
    <t>Enter Expenses Category …</t>
  </si>
  <si>
    <t>Savings</t>
  </si>
  <si>
    <t>Enter Savings Category ...</t>
  </si>
  <si>
    <t>Insuran</t>
  </si>
  <si>
    <t>Date</t>
  </si>
  <si>
    <t>Payment Type</t>
  </si>
  <si>
    <t>Type</t>
  </si>
  <si>
    <t>Category</t>
  </si>
  <si>
    <t>Sub-Category</t>
  </si>
  <si>
    <t>Amount $</t>
  </si>
  <si>
    <t>Amount LBP</t>
  </si>
  <si>
    <t>Amount €</t>
  </si>
  <si>
    <t>Details</t>
  </si>
  <si>
    <t>Balance $</t>
  </si>
  <si>
    <t>Balance LBP</t>
  </si>
  <si>
    <t>Balance €</t>
  </si>
  <si>
    <t>Effective Date</t>
  </si>
  <si>
    <t>Dekerco</t>
  </si>
  <si>
    <t>Online Shop</t>
  </si>
  <si>
    <t>KSC</t>
  </si>
  <si>
    <t>Mansour</t>
  </si>
  <si>
    <t>Uncle Fluffy</t>
  </si>
  <si>
    <t>Fuel (Mazda)</t>
  </si>
  <si>
    <t>University Fees</t>
  </si>
  <si>
    <t>Rafca recue de diplome de MBA Billets</t>
  </si>
  <si>
    <t>Demande d'attestation pour Bernard CNAM (Attestation de fin d'etude, Attestation de notes)</t>
  </si>
  <si>
    <t>Machine Maintenance</t>
  </si>
  <si>
    <t>Bearing SKF for Splinder Motor</t>
  </si>
  <si>
    <t>Ma5rata for housing of the bearing of the Splinder Motor</t>
  </si>
  <si>
    <t>HairCut (BoB Shallouf)</t>
  </si>
  <si>
    <t>Mobile Phone Bill</t>
  </si>
  <si>
    <t>Mobile Phone Number Purchase for Mom</t>
  </si>
  <si>
    <t>Water</t>
  </si>
  <si>
    <t>Card</t>
  </si>
  <si>
    <t>Spinneys</t>
  </si>
  <si>
    <t>Hawa Chicken</t>
  </si>
  <si>
    <t>Phill &amp; Will</t>
  </si>
  <si>
    <t>Abeille D'or</t>
  </si>
  <si>
    <t>Shower Products</t>
  </si>
  <si>
    <t>Yves Rocher, Shower Porducts</t>
  </si>
  <si>
    <t>Zaatar w Zeit</t>
  </si>
  <si>
    <t>Maison Brown</t>
  </si>
  <si>
    <t>Sweater</t>
  </si>
  <si>
    <t>Pink Berry</t>
  </si>
  <si>
    <t>Akiki Freres</t>
  </si>
  <si>
    <t>Parking</t>
  </si>
  <si>
    <t>Kebab Sevag</t>
  </si>
  <si>
    <t>Basterma Mano</t>
  </si>
  <si>
    <t>Christmass Market</t>
  </si>
  <si>
    <t>Entrance</t>
  </si>
  <si>
    <t>Berry Bites</t>
  </si>
  <si>
    <t>Cash For Rafca</t>
  </si>
  <si>
    <t>Al-Andalos</t>
  </si>
  <si>
    <t>Box For Less</t>
  </si>
  <si>
    <t>Dairy Products Rachana</t>
  </si>
  <si>
    <t>Bakery Products (Chamsin)</t>
  </si>
  <si>
    <t>Dental (Othosmiles)</t>
  </si>
  <si>
    <t>Detartrage</t>
  </si>
  <si>
    <t>360 Fit Batroun (Full Month)</t>
  </si>
  <si>
    <t>Glow Paradise</t>
  </si>
  <si>
    <t>Medicines (Serge Pharmacy)</t>
  </si>
  <si>
    <t>Al-Daouk Sweets</t>
  </si>
  <si>
    <t>Joe &amp; The Juice</t>
  </si>
  <si>
    <t>GS Stores</t>
  </si>
  <si>
    <t>Celio</t>
  </si>
  <si>
    <t>e5er card transaxtion kenit bi 23 decembre</t>
  </si>
  <si>
    <t>bass ken fi spineeys 32.22 w city mall dawra gs 50.16</t>
  </si>
  <si>
    <t>3mol enno wa2et 7ott enter trou7 3al cell eli 7adda mech eli ta7taa</t>
  </si>
  <si>
    <t>CHECK THE VIDEO OF THE EXCEL ROW HACK FORM INTAGRAM POSTS FOLDER</t>
  </si>
  <si>
    <t>SHOUF EZA BET3ADEL EL PLANNING W BETZID PARTIE EL EURO 3AL PLANNING W BETZABBER EL SORTING BASE 3ALA EL AVERAGE BEN EL EURO W EL USD</t>
  </si>
  <si>
    <t>Year</t>
  </si>
  <si>
    <t>Select the year to view →</t>
  </si>
  <si>
    <t>Current Year</t>
  </si>
  <si>
    <t>Period</t>
  </si>
  <si>
    <t>Select the period to view →</t>
  </si>
  <si>
    <t>Current Month</t>
  </si>
  <si>
    <t>Row_ID</t>
  </si>
  <si>
    <t>Header_Row_ID</t>
  </si>
  <si>
    <t>IS_Header</t>
  </si>
  <si>
    <t>IS_Cat</t>
  </si>
  <si>
    <t>IS_Total</t>
  </si>
  <si>
    <t>IS_Empty</t>
  </si>
  <si>
    <t>Item</t>
  </si>
  <si>
    <t>Tracked $</t>
  </si>
  <si>
    <t>Tracked LBP</t>
  </si>
  <si>
    <t>Tracked €</t>
  </si>
  <si>
    <t>Budget</t>
  </si>
  <si>
    <t>Sort_Min_Row</t>
  </si>
  <si>
    <t>Sort_Max_Row</t>
  </si>
  <si>
    <t>Tracked_$_Range</t>
  </si>
  <si>
    <t>Tracked_$_Rank</t>
  </si>
  <si>
    <t>Tracked_LBP_Range</t>
  </si>
  <si>
    <t>Tracked_LBP_Rank</t>
  </si>
  <si>
    <t>Tracked_€_Range</t>
  </si>
  <si>
    <t>Tracked_€_Rank</t>
  </si>
  <si>
    <t>Budget_Range</t>
  </si>
  <si>
    <t>Budget_Rank</t>
  </si>
  <si>
    <t>Comb_Rank</t>
  </si>
  <si>
    <t>Comb_Rank_Range</t>
  </si>
  <si>
    <t>Comb_Rank_Norm</t>
  </si>
  <si>
    <t>Comb_Rank_Norm_Run_Range</t>
  </si>
  <si>
    <t>Comb_Rank_Unique</t>
  </si>
  <si>
    <t>Sorted_Row_ID [LookUp]</t>
  </si>
  <si>
    <t>Worksheet: Budget Tracking</t>
  </si>
  <si>
    <t>Today:</t>
  </si>
  <si>
    <t>Last Record:</t>
  </si>
  <si>
    <t>Delta Last Record:</t>
  </si>
  <si>
    <t># Records:</t>
  </si>
  <si>
    <t># Records this year:</t>
  </si>
  <si>
    <t>Tracking Balance $:</t>
  </si>
  <si>
    <t>Tracking Balance LBP:</t>
  </si>
  <si>
    <t>Tracking Balance €:</t>
  </si>
  <si>
    <t>Balance $ Analysis Text:</t>
  </si>
  <si>
    <t>Balance LBP Analysis Text:</t>
  </si>
  <si>
    <t>Balance € Analysis Text:</t>
  </si>
  <si>
    <t>Worksheet: Budget Dashboard</t>
  </si>
  <si>
    <t>Selected Year:</t>
  </si>
  <si>
    <t>Selected Period:</t>
  </si>
  <si>
    <t>Selected Period (Display):</t>
  </si>
  <si>
    <t>Days in Period:</t>
  </si>
  <si>
    <t>D, E 251 PIXELS COLUMN WIDTH</t>
  </si>
  <si>
    <t>Days passed in Period:</t>
  </si>
  <si>
    <t>F, G, H 80 PIXELS COLUMN WIDTH</t>
  </si>
  <si>
    <t>Days passed in Period %:</t>
  </si>
  <si>
    <t>Period Tracking Balance $:</t>
  </si>
  <si>
    <t>Period Savings Rate:</t>
  </si>
  <si>
    <r>
      <rPr>
        <b/>
        <sz val="11"/>
        <color theme="4"/>
        <rFont val="Calibri"/>
        <family val="2"/>
        <scheme val="minor"/>
      </rPr>
      <t>Chart Calculations:</t>
    </r>
    <r>
      <rPr>
        <sz val="11"/>
        <color theme="4"/>
        <rFont val="Calibri"/>
        <family val="2"/>
        <scheme val="minor"/>
      </rPr>
      <t xml:space="preserve"> Category Distribution Charts</t>
    </r>
  </si>
  <si>
    <r>
      <rPr>
        <b/>
        <sz val="11"/>
        <color theme="4"/>
        <rFont val="Calibri"/>
        <family val="2"/>
        <scheme val="minor"/>
      </rPr>
      <t>Chart Calculations:</t>
    </r>
    <r>
      <rPr>
        <sz val="11"/>
        <color theme="4"/>
        <rFont val="Calibri"/>
        <family val="2"/>
        <scheme val="minor"/>
      </rPr>
      <t xml:space="preserve"> Tracked (vs. Budget) Chart</t>
    </r>
  </si>
  <si>
    <t>Show Income:</t>
  </si>
  <si>
    <t>Show Expenses:</t>
  </si>
  <si>
    <t>Show Savings:</t>
  </si>
  <si>
    <t>Show Rem. Budget:</t>
  </si>
  <si>
    <t>Period in Focus</t>
  </si>
  <si>
    <t>Period not in Focus</t>
  </si>
  <si>
    <t>Month</t>
  </si>
  <si>
    <t>Month Num.</t>
  </si>
  <si>
    <t>In Focus</t>
  </si>
  <si>
    <t>Show Type</t>
  </si>
  <si>
    <t>Show Rem. Budget</t>
  </si>
  <si>
    <t>Delta</t>
  </si>
  <si>
    <t>In budget</t>
  </si>
  <si>
    <t>Remaining</t>
  </si>
  <si>
    <t>Excess</t>
  </si>
  <si>
    <t>Year Dropdown</t>
  </si>
  <si>
    <t>Period Dropdown</t>
  </si>
  <si>
    <t>Dining Out</t>
  </si>
  <si>
    <t xml:space="preserve">Transportation </t>
  </si>
  <si>
    <t>Self-Improvement</t>
  </si>
  <si>
    <t>Car Maintenance (Opel)</t>
  </si>
  <si>
    <t>Total Year</t>
  </si>
  <si>
    <t>McDonald's (Big Tasty Sauce)</t>
  </si>
  <si>
    <t>Fuel (Opel)</t>
  </si>
  <si>
    <t>Burda</t>
  </si>
  <si>
    <t>Books</t>
  </si>
  <si>
    <t>Brake Oil</t>
  </si>
  <si>
    <t>Blood Test</t>
  </si>
  <si>
    <t>Bakery Products (Moulin D'or)</t>
  </si>
  <si>
    <t>Dunkin Donuts</t>
  </si>
  <si>
    <t>Koton Mall</t>
  </si>
  <si>
    <t>Engine Oil</t>
  </si>
  <si>
    <t>Body Composition</t>
  </si>
  <si>
    <t>Bakery Products (AL-Khabaz)</t>
  </si>
  <si>
    <t>Hajj Nasr</t>
  </si>
  <si>
    <t>(Taxi/Service/Bus)</t>
  </si>
  <si>
    <t>SpringField</t>
  </si>
  <si>
    <t>Front Brake Plates</t>
  </si>
  <si>
    <t>Hamra Furn</t>
  </si>
  <si>
    <t>Saxon Wear</t>
  </si>
  <si>
    <t>Car Maintenance (Mazda)</t>
  </si>
  <si>
    <t>Front Brake Disc</t>
  </si>
  <si>
    <t>Dental (Jean Bez)</t>
  </si>
  <si>
    <t>Furn Al Wadi</t>
  </si>
  <si>
    <t>Denise Batroun</t>
  </si>
  <si>
    <t>Eye Doctor Visit (Daniel Cherfan)</t>
  </si>
  <si>
    <t>Le Charcutier</t>
  </si>
  <si>
    <t>Al-Abdallah</t>
  </si>
  <si>
    <t>Chapeau Bas Batroun</t>
  </si>
  <si>
    <t>Hallab 1881</t>
  </si>
  <si>
    <t>Family Support</t>
  </si>
  <si>
    <t>Just Move</t>
  </si>
  <si>
    <t>Home Items</t>
  </si>
  <si>
    <t>Medicines (Dagher Pharmacy)</t>
  </si>
  <si>
    <t>Yalla</t>
  </si>
  <si>
    <t>Refaat-Al-Hallab</t>
  </si>
  <si>
    <t>Decathlon</t>
  </si>
  <si>
    <t>Breaker MonoPhase</t>
  </si>
  <si>
    <t>Medicines (Rahbani Pharmacy)</t>
  </si>
  <si>
    <t>Zara</t>
  </si>
  <si>
    <t>Medicines (Tatiana Pharmacy)</t>
  </si>
  <si>
    <t>Rahme Buchery (Tripoli)</t>
  </si>
  <si>
    <t>SeaSweet</t>
  </si>
  <si>
    <t>Berchka</t>
  </si>
  <si>
    <t>Medicines (Jeddayel Pharmacy)</t>
  </si>
  <si>
    <t>Halim</t>
  </si>
  <si>
    <t>Si Bon</t>
  </si>
  <si>
    <t>Pull &amp; Bear</t>
  </si>
  <si>
    <t>Toni Bacho Haikal</t>
  </si>
  <si>
    <t>Swiss Butter</t>
  </si>
  <si>
    <t>Random People On The Streets</t>
  </si>
  <si>
    <t>Jack &amp; Jones</t>
  </si>
  <si>
    <t>Ayoub Computers</t>
  </si>
  <si>
    <t>Car Insurance (Opel)</t>
  </si>
  <si>
    <t>Supermarket Jbeil</t>
  </si>
  <si>
    <t>BIG MIKE'S</t>
  </si>
  <si>
    <t>Mike Sport Outlet</t>
  </si>
  <si>
    <t>PC &amp; PARTS</t>
  </si>
  <si>
    <t>Car Insurance (Mazda)</t>
  </si>
  <si>
    <t>Bakery Products (Keyrouz)</t>
  </si>
  <si>
    <t>Crepaway</t>
  </si>
  <si>
    <t>GCS Computers</t>
  </si>
  <si>
    <t>$ TO LBP</t>
  </si>
  <si>
    <t>Bakery Products (Pain d'or)</t>
  </si>
  <si>
    <t>Furn Merchak</t>
  </si>
  <si>
    <t>Feel 22 Website</t>
  </si>
  <si>
    <t>Mr Phone</t>
  </si>
  <si>
    <t>LBP TO $</t>
  </si>
  <si>
    <t>Bakery Products (Wooden Bakery)</t>
  </si>
  <si>
    <t>Libre Beirut</t>
  </si>
  <si>
    <t>Generator</t>
  </si>
  <si>
    <t>J-Tech</t>
  </si>
  <si>
    <t>ACE Computers</t>
  </si>
  <si>
    <t>$ TO €</t>
  </si>
  <si>
    <t>Mont Croissant</t>
  </si>
  <si>
    <t>EDL</t>
  </si>
  <si>
    <t>Trayumf Jbeil</t>
  </si>
  <si>
    <t>PRIVATE TECH</t>
  </si>
  <si>
    <t>€ TO $</t>
  </si>
  <si>
    <t>Fruits &amp; Vegetables Market (Nahr Ibrahim)</t>
  </si>
  <si>
    <t>Internet Ogero</t>
  </si>
  <si>
    <t>Fruits &amp; Vegetables Market (Tripoli)</t>
  </si>
  <si>
    <t>Barley &amp; Bean</t>
  </si>
  <si>
    <t>Internet Chadi</t>
  </si>
  <si>
    <t>Jar Honey</t>
  </si>
  <si>
    <t>THINKERS</t>
  </si>
  <si>
    <t>Landline</t>
  </si>
  <si>
    <t>Chesse On Top</t>
  </si>
  <si>
    <t>Water Governement</t>
  </si>
  <si>
    <t>Slopes Pass</t>
  </si>
  <si>
    <t>Bakery Products (Roi Du Pain)</t>
  </si>
  <si>
    <t>Jonas Street Café</t>
  </si>
  <si>
    <t>Gas</t>
  </si>
  <si>
    <t>Outfit Rent</t>
  </si>
  <si>
    <t>Rond Point SuperMarket</t>
  </si>
  <si>
    <t>Ahmad Al-Abdallah</t>
  </si>
  <si>
    <t>Equipements Rent</t>
  </si>
  <si>
    <t>Habbet Misk</t>
  </si>
  <si>
    <t>Malak el Taouk</t>
  </si>
  <si>
    <t>Personal Care</t>
  </si>
  <si>
    <t>Nohra Seafood</t>
  </si>
  <si>
    <t>Abou Arab</t>
  </si>
  <si>
    <t>Skin Care</t>
  </si>
  <si>
    <t>Lunch</t>
  </si>
  <si>
    <t>360 Fit Batroun (1/2 Month)</t>
  </si>
  <si>
    <t>Salameh</t>
  </si>
  <si>
    <t>Foren Chaptini (Nawal)</t>
  </si>
  <si>
    <t>Basketball Game</t>
  </si>
  <si>
    <t>Laser Hair Removal (Full CHEST, Full BACK)</t>
  </si>
  <si>
    <t>Orange Bleu Palaiseau (Full Month)</t>
  </si>
  <si>
    <t>Latte Art</t>
  </si>
  <si>
    <t>Bike Ride</t>
  </si>
  <si>
    <t>Orange Bleu Palaiseau (1/2 Month)</t>
  </si>
  <si>
    <t>New Yorker Cup</t>
  </si>
  <si>
    <t>Board Games (Aura)</t>
  </si>
  <si>
    <t>Basic-Fit (Full Month)</t>
  </si>
  <si>
    <t>EdenBurg Batroun</t>
  </si>
  <si>
    <t>Board Games (On Board)</t>
  </si>
  <si>
    <t>Basic-Fit (1/2 Month)</t>
  </si>
  <si>
    <t>Hungry Shack Batroun</t>
  </si>
  <si>
    <t>Movies</t>
  </si>
  <si>
    <t>Fitness Park (Full Month)</t>
  </si>
  <si>
    <t>Furn Beino</t>
  </si>
  <si>
    <t>Board Games (Dice)</t>
  </si>
  <si>
    <t>Fitness Park (1/2 Month)</t>
  </si>
  <si>
    <t>Anthony's Diner</t>
  </si>
  <si>
    <t>Roadster Diner</t>
  </si>
  <si>
    <t>Kaak Abou Arab</t>
  </si>
  <si>
    <t>Baguette de Paris</t>
  </si>
  <si>
    <t>Sandwich w noss</t>
  </si>
  <si>
    <t>Provencial</t>
  </si>
  <si>
    <t>King Fadi</t>
  </si>
  <si>
    <t>Kaaketna Lebneniye</t>
  </si>
  <si>
    <t>Massoud</t>
  </si>
  <si>
    <t>Hayat Doner</t>
  </si>
  <si>
    <t>Smashed Burger Joint</t>
  </si>
  <si>
    <t>Foren Abou Elias</t>
  </si>
  <si>
    <t>TIMO Beirut</t>
  </si>
  <si>
    <t>Pierre Y Amigos</t>
  </si>
  <si>
    <t>Bolero</t>
  </si>
  <si>
    <t>Saj Em Nassif</t>
  </si>
  <si>
    <t>Baguette Gourmet</t>
  </si>
  <si>
    <t>Workshop Raw Materials</t>
  </si>
  <si>
    <t>Mar Charbel Monastry</t>
  </si>
  <si>
    <t>Wolf of Bey E-COMM Course</t>
  </si>
  <si>
    <t>Dermatologue - Mohammad Ali</t>
  </si>
  <si>
    <t>Face Treatment  DAKTACORT</t>
  </si>
  <si>
    <t>Face Treatment  ISISPHARMA</t>
  </si>
  <si>
    <t>UNITED JRAN</t>
  </si>
  <si>
    <t>Maintenance</t>
  </si>
  <si>
    <t>Fer Evalisse rafca</t>
  </si>
  <si>
    <t>Dermatologue - Joelle Zgheib</t>
  </si>
  <si>
    <t>Face Excema</t>
  </si>
  <si>
    <t>Ali Darwich - Gas HEATER Maintenance</t>
  </si>
  <si>
    <t>Selim Jwellery</t>
  </si>
  <si>
    <t>Workshop Accessories</t>
  </si>
  <si>
    <t>Tyres Change Mazda</t>
  </si>
  <si>
    <t>Tyres Change Opel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</si>
</sst>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43" formatCode="_(* #,##0.00_);_(* \(#,##0.00\);_(* &quot;-&quot;??_);_(@_)"/>
    <numFmt numFmtId="164" formatCode="mmm"/>
    <numFmt numFmtId="165" formatCode="_(* #,##0_);_(* \(#,##0\);_(* &quot;-&quot;??_);_(@_)"/>
    <numFmt numFmtId="166" formatCode="mmmm"/>
    <numFmt numFmtId="167" formatCode="_(&quot;$&quot;* #,##0_);_(&quot;$&quot;* \(#,##0\);_(&quot;$&quot;* &quot;-&quot;??_);_(@_)"/>
    <numFmt numFmtId="168" formatCode="_([$LBP]\ * #,##0_);_([$LBP]\ * \(#,##0\);_([$LBP]\ * &quot;-&quot;??_);_(@_)"/>
    <numFmt numFmtId="169" formatCode="_([$€-2]\ * #,##0_);_([$€-2]\ * \(#,##0\);_([$€-2]\ * &quot;-&quot;??_);_(@_)"/>
  </numFmts>
  <fonts count="36" x14ac:knownFonts="1">
    <font>
      <sz val="11"/>
      <color theme="1"/>
      <name val="Calibri"/>
      <family val="2"/>
      <scheme val="minor"/>
    </font>
    <font>
      <sz val="11"/>
      <color theme="1"/>
      <name val="Calibri"/>
      <family val="2"/>
      <scheme val="minor"/>
    </font>
    <font>
      <sz val="8"/>
      <name val="Calibri"/>
      <family val="2"/>
      <scheme val="minor"/>
    </font>
    <font>
      <b/>
      <sz val="11"/>
      <color theme="0"/>
      <name val="Calibri"/>
      <family val="2"/>
      <scheme val="minor"/>
    </font>
    <font>
      <b/>
      <sz val="11"/>
      <color theme="1"/>
      <name val="Calibri"/>
      <family val="2"/>
      <scheme val="minor"/>
    </font>
    <font>
      <b/>
      <sz val="24"/>
      <color theme="0"/>
      <name val="Calibri"/>
      <family val="2"/>
      <scheme val="minor"/>
    </font>
    <font>
      <sz val="10"/>
      <color theme="1"/>
      <name val="Calibri"/>
      <family val="2"/>
      <scheme val="minor"/>
    </font>
    <font>
      <i/>
      <sz val="9"/>
      <color theme="0" tint="-0.499984740745262"/>
      <name val="Calibri"/>
      <family val="2"/>
      <scheme val="minor"/>
    </font>
    <font>
      <sz val="11"/>
      <name val="Calibri"/>
      <family val="2"/>
      <scheme val="minor"/>
    </font>
    <font>
      <b/>
      <sz val="11"/>
      <name val="Calibri"/>
      <family val="2"/>
      <scheme val="minor"/>
    </font>
    <font>
      <sz val="10"/>
      <name val="Calibri"/>
      <family val="2"/>
      <scheme val="minor"/>
    </font>
    <font>
      <i/>
      <sz val="9"/>
      <name val="Calibri"/>
      <family val="2"/>
      <scheme val="minor"/>
    </font>
    <font>
      <sz val="11"/>
      <color theme="0" tint="-0.249977111117893"/>
      <name val="Aptos Narrow"/>
      <family val="2"/>
    </font>
    <font>
      <sz val="10"/>
      <color theme="0" tint="-0.34998626667073579"/>
      <name val="Calibri"/>
      <family val="2"/>
      <scheme val="minor"/>
    </font>
    <font>
      <sz val="9"/>
      <color theme="0" tint="-0.34998626667073579"/>
      <name val="Calibri"/>
      <family val="2"/>
      <scheme val="minor"/>
    </font>
    <font>
      <b/>
      <sz val="9"/>
      <color theme="0" tint="-0.34998626667073579"/>
      <name val="Calibri"/>
      <family val="2"/>
      <scheme val="minor"/>
    </font>
    <font>
      <b/>
      <sz val="9"/>
      <color theme="1"/>
      <name val="Calibri"/>
      <family val="2"/>
      <scheme val="minor"/>
    </font>
    <font>
      <i/>
      <sz val="10"/>
      <name val="Calibri"/>
      <family val="2"/>
      <scheme val="minor"/>
    </font>
    <font>
      <sz val="9"/>
      <name val="Calibri"/>
      <family val="2"/>
      <scheme val="minor"/>
    </font>
    <font>
      <b/>
      <sz val="10"/>
      <color theme="1"/>
      <name val="Calibri"/>
      <family val="2"/>
      <scheme val="minor"/>
    </font>
    <font>
      <b/>
      <sz val="10"/>
      <color theme="0"/>
      <name val="Calibri"/>
      <family val="2"/>
      <scheme val="minor"/>
    </font>
    <font>
      <sz val="10"/>
      <color theme="0" tint="-0.499984740745262"/>
      <name val="Calibri"/>
      <family val="2"/>
      <scheme val="minor"/>
    </font>
    <font>
      <sz val="11"/>
      <color theme="0" tint="-0.499984740745262"/>
      <name val="Calibri"/>
      <family val="2"/>
      <scheme val="minor"/>
    </font>
    <font>
      <b/>
      <sz val="11"/>
      <color theme="0" tint="-0.499984740745262"/>
      <name val="Calibri"/>
      <family val="2"/>
      <scheme val="minor"/>
    </font>
    <font>
      <b/>
      <sz val="12"/>
      <color theme="8"/>
      <name val="Calibri"/>
      <family val="2"/>
      <scheme val="minor"/>
    </font>
    <font>
      <sz val="10"/>
      <color theme="0" tint="-0.14999847407452621"/>
      <name val="Calibri"/>
      <family val="2"/>
      <scheme val="minor"/>
    </font>
    <font>
      <b/>
      <sz val="24"/>
      <color rgb="FF002060"/>
      <name val="Calibri"/>
      <family val="2"/>
      <scheme val="minor"/>
    </font>
    <font>
      <b/>
      <sz val="9"/>
      <color theme="0"/>
      <name val="Calibri"/>
      <family val="2"/>
      <scheme val="minor"/>
    </font>
    <font>
      <sz val="8"/>
      <color theme="1"/>
      <name val="Calibri"/>
      <family val="2"/>
      <scheme val="minor"/>
    </font>
    <font>
      <sz val="10.5"/>
      <color theme="1"/>
      <name val="Calibri"/>
      <family val="2"/>
      <scheme val="minor"/>
    </font>
    <font>
      <b/>
      <sz val="11"/>
      <color theme="4"/>
      <name val="Calibri"/>
      <family val="2"/>
      <scheme val="minor"/>
    </font>
    <font>
      <sz val="11"/>
      <color theme="4"/>
      <name val="Calibri"/>
      <family val="2"/>
      <scheme val="minor"/>
    </font>
    <font>
      <sz val="9"/>
      <color theme="1"/>
      <name val="Calibri"/>
      <family val="2"/>
      <scheme val="minor"/>
    </font>
    <font>
      <sz val="10"/>
      <color theme="0"/>
      <name val="Calibri"/>
      <family val="2"/>
      <scheme val="minor"/>
    </font>
    <font>
      <sz val="11"/>
      <color theme="3"/>
      <name val="Calibri"/>
      <family val="2"/>
      <scheme val="minor"/>
    </font>
    <font>
      <sz val="8"/>
      <color rgb="FF000000"/>
      <name val="Segoe UI"/>
      <family val="2"/>
    </font>
  </fonts>
  <fills count="12">
    <fill>
      <patternFill patternType="none"/>
    </fill>
    <fill>
      <patternFill patternType="gray125"/>
    </fill>
    <fill>
      <patternFill patternType="solid">
        <fgColor rgb="FF00B050"/>
        <bgColor indexed="64"/>
      </patternFill>
    </fill>
    <fill>
      <patternFill patternType="solid">
        <fgColor rgb="FFFF000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00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8" tint="-0.499984740745262"/>
        <bgColor indexed="64"/>
      </patternFill>
    </fill>
    <fill>
      <patternFill patternType="solid">
        <fgColor theme="0" tint="-0.249977111117893"/>
        <bgColor indexed="64"/>
      </patternFill>
    </fill>
  </fills>
  <borders count="21">
    <border>
      <left/>
      <right/>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bottom/>
      <diagonal/>
    </border>
    <border>
      <left/>
      <right/>
      <top/>
      <bottom style="dotted">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style="thin">
        <color theme="0" tint="-0.24994659260841701"/>
      </bottom>
      <diagonal/>
    </border>
    <border>
      <left/>
      <right/>
      <top/>
      <bottom style="thin">
        <color indexed="64"/>
      </bottom>
      <diagonal/>
    </border>
    <border>
      <left/>
      <right/>
      <top style="dotted">
        <color indexed="64"/>
      </top>
      <bottom style="double">
        <color indexed="64"/>
      </bottom>
      <diagonal/>
    </border>
    <border>
      <left/>
      <right/>
      <top style="dotted">
        <color auto="1"/>
      </top>
      <bottom/>
      <diagonal/>
    </border>
    <border>
      <left style="thin">
        <color theme="4" tint="0.39997558519241921"/>
      </left>
      <right style="thin">
        <color theme="4" tint="0.39997558519241921"/>
      </right>
      <top/>
      <bottom style="thin">
        <color theme="4" tint="0.39997558519241921"/>
      </bottom>
      <diagonal/>
    </border>
    <border>
      <left/>
      <right/>
      <top style="thin">
        <color auto="1"/>
      </top>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26">
    <xf numFmtId="0" fontId="0" fillId="0" borderId="0" xfId="0"/>
    <xf numFmtId="0" fontId="5" fillId="4" borderId="0" xfId="0" applyFont="1" applyFill="1" applyAlignment="1">
      <alignment vertical="center"/>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4" fillId="0" borderId="0" xfId="0" applyFont="1"/>
    <xf numFmtId="0" fontId="6" fillId="5" borderId="0" xfId="0" applyFont="1" applyFill="1" applyAlignment="1">
      <alignment horizontal="center" vertical="center"/>
    </xf>
    <xf numFmtId="0" fontId="7" fillId="0" borderId="0" xfId="0" applyFont="1"/>
    <xf numFmtId="0" fontId="8" fillId="0" borderId="0" xfId="0" applyFont="1"/>
    <xf numFmtId="0" fontId="9" fillId="0" borderId="0" xfId="0" applyFont="1"/>
    <xf numFmtId="0" fontId="10" fillId="0" borderId="0" xfId="0" applyFont="1" applyAlignment="1">
      <alignment horizontal="center" vertical="center"/>
    </xf>
    <xf numFmtId="0" fontId="11" fillId="0" borderId="0" xfId="0" applyFont="1"/>
    <xf numFmtId="0" fontId="7" fillId="0" borderId="0" xfId="0" applyFont="1" applyAlignment="1">
      <alignment horizontal="right" vertical="center"/>
    </xf>
    <xf numFmtId="0" fontId="9" fillId="0" borderId="6" xfId="0" applyFont="1" applyBorder="1" applyAlignment="1">
      <alignment horizontal="left" indent="1"/>
    </xf>
    <xf numFmtId="0" fontId="3" fillId="0" borderId="0" xfId="0" applyFont="1" applyAlignment="1">
      <alignment horizontal="left" indent="1"/>
    </xf>
    <xf numFmtId="0" fontId="13" fillId="0" borderId="0" xfId="0" applyFont="1" applyAlignment="1">
      <alignment horizontal="left" indent="1"/>
    </xf>
    <xf numFmtId="165" fontId="14" fillId="0" borderId="6" xfId="1" applyNumberFormat="1" applyFont="1" applyFill="1" applyBorder="1"/>
    <xf numFmtId="165" fontId="15" fillId="0" borderId="6" xfId="1" applyNumberFormat="1" applyFont="1" applyBorder="1"/>
    <xf numFmtId="165" fontId="16" fillId="0" borderId="6" xfId="1" applyNumberFormat="1" applyFont="1" applyBorder="1"/>
    <xf numFmtId="164" fontId="3" fillId="2" borderId="0" xfId="0" applyNumberFormat="1" applyFont="1" applyFill="1" applyAlignment="1">
      <alignment horizontal="center" vertical="center"/>
    </xf>
    <xf numFmtId="0" fontId="3" fillId="2" borderId="0" xfId="0" applyFont="1" applyFill="1" applyAlignment="1">
      <alignment horizontal="center" vertical="center"/>
    </xf>
    <xf numFmtId="164" fontId="3" fillId="3" borderId="0" xfId="0" applyNumberFormat="1" applyFont="1" applyFill="1" applyAlignment="1">
      <alignment horizontal="center" vertical="center"/>
    </xf>
    <xf numFmtId="0" fontId="3" fillId="3" borderId="0" xfId="0" applyFont="1" applyFill="1" applyAlignment="1">
      <alignment horizontal="center" vertical="center"/>
    </xf>
    <xf numFmtId="165" fontId="14" fillId="0" borderId="6" xfId="1" applyNumberFormat="1" applyFont="1" applyFill="1" applyBorder="1" applyAlignment="1">
      <alignment horizontal="center" vertical="center"/>
    </xf>
    <xf numFmtId="165" fontId="16" fillId="0" borderId="6" xfId="1" applyNumberFormat="1" applyFont="1" applyBorder="1" applyAlignment="1">
      <alignment horizontal="center" vertical="center"/>
    </xf>
    <xf numFmtId="164" fontId="3" fillId="6" borderId="0" xfId="0" applyNumberFormat="1" applyFont="1" applyFill="1" applyAlignment="1">
      <alignment horizontal="center" vertical="center"/>
    </xf>
    <xf numFmtId="0" fontId="3" fillId="6" borderId="0" xfId="0" applyFont="1" applyFill="1" applyAlignment="1">
      <alignment horizontal="center" vertical="center"/>
    </xf>
    <xf numFmtId="0" fontId="17" fillId="0" borderId="0" xfId="0" applyFont="1" applyAlignment="1">
      <alignment horizontal="right"/>
    </xf>
    <xf numFmtId="165" fontId="18" fillId="0" borderId="6" xfId="0" applyNumberFormat="1" applyFont="1" applyBorder="1"/>
    <xf numFmtId="164" fontId="3" fillId="0" borderId="0" xfId="0" applyNumberFormat="1" applyFont="1" applyAlignment="1">
      <alignment horizontal="center" vertical="center"/>
    </xf>
    <xf numFmtId="0" fontId="19" fillId="0" borderId="6" xfId="0" applyFont="1" applyBorder="1" applyAlignment="1">
      <alignment horizontal="center" vertical="center"/>
    </xf>
    <xf numFmtId="165" fontId="18" fillId="0" borderId="6" xfId="0" applyNumberFormat="1" applyFont="1" applyBorder="1" applyAlignment="1">
      <alignment horizontal="center" vertical="center"/>
    </xf>
    <xf numFmtId="0" fontId="0" fillId="4" borderId="0" xfId="0" applyFill="1"/>
    <xf numFmtId="0" fontId="5" fillId="4" borderId="0" xfId="0" applyFont="1" applyFill="1"/>
    <xf numFmtId="0" fontId="0" fillId="0" borderId="0" xfId="0" applyAlignment="1">
      <alignment horizontal="left" vertical="center" indent="1"/>
    </xf>
    <xf numFmtId="0" fontId="6" fillId="0" borderId="0" xfId="0" applyFont="1" applyAlignment="1">
      <alignment horizontal="left" indent="1"/>
    </xf>
    <xf numFmtId="15" fontId="6" fillId="0" borderId="0" xfId="0" applyNumberFormat="1" applyFont="1" applyAlignment="1">
      <alignment horizontal="left" indent="1"/>
    </xf>
    <xf numFmtId="0" fontId="22" fillId="8" borderId="0" xfId="0" applyFont="1" applyFill="1" applyAlignment="1">
      <alignment horizontal="left" vertical="center" indent="1"/>
    </xf>
    <xf numFmtId="165" fontId="21" fillId="0" borderId="0" xfId="1" applyNumberFormat="1" applyFont="1" applyAlignment="1">
      <alignment horizontal="left" indent="2"/>
    </xf>
    <xf numFmtId="0" fontId="24" fillId="0" borderId="0" xfId="0" applyFont="1"/>
    <xf numFmtId="0" fontId="4" fillId="0" borderId="0" xfId="0" applyFont="1" applyAlignment="1">
      <alignment horizontal="left" indent="1"/>
    </xf>
    <xf numFmtId="15" fontId="25" fillId="0" borderId="0" xfId="0" applyNumberFormat="1" applyFont="1" applyAlignment="1">
      <alignment horizontal="left" indent="1"/>
    </xf>
    <xf numFmtId="0" fontId="23" fillId="8" borderId="6" xfId="0" applyFont="1" applyFill="1" applyBorder="1" applyAlignment="1">
      <alignment horizontal="left" vertical="center" indent="1"/>
    </xf>
    <xf numFmtId="0" fontId="26" fillId="8" borderId="0" xfId="0" applyFont="1" applyFill="1" applyAlignment="1">
      <alignment vertical="center"/>
    </xf>
    <xf numFmtId="15" fontId="0" fillId="0" borderId="0" xfId="0" applyNumberFormat="1"/>
    <xf numFmtId="0" fontId="21" fillId="0" borderId="0" xfId="0" applyFont="1" applyAlignment="1">
      <alignment horizontal="left" indent="2"/>
    </xf>
    <xf numFmtId="0" fontId="0" fillId="0" borderId="0" xfId="0" applyAlignment="1">
      <alignment horizontal="left" indent="1"/>
    </xf>
    <xf numFmtId="165" fontId="0" fillId="0" borderId="0" xfId="1" applyNumberFormat="1" applyFont="1"/>
    <xf numFmtId="0" fontId="0" fillId="8" borderId="0" xfId="0" applyFill="1"/>
    <xf numFmtId="0" fontId="6" fillId="0" borderId="11" xfId="0" applyFont="1" applyBorder="1" applyAlignment="1">
      <alignment horizontal="center" vertical="center"/>
    </xf>
    <xf numFmtId="0" fontId="6" fillId="0" borderId="7" xfId="0" applyFont="1" applyBorder="1" applyAlignment="1">
      <alignment horizontal="center" vertical="center"/>
    </xf>
    <xf numFmtId="0" fontId="0" fillId="0" borderId="0" xfId="1" applyNumberFormat="1" applyFont="1"/>
    <xf numFmtId="166" fontId="6" fillId="0" borderId="11" xfId="0" applyNumberFormat="1" applyFont="1" applyBorder="1" applyAlignment="1">
      <alignment horizontal="center" vertical="center"/>
    </xf>
    <xf numFmtId="166" fontId="6" fillId="0" borderId="7" xfId="0" applyNumberFormat="1" applyFont="1" applyBorder="1" applyAlignment="1">
      <alignment horizontal="center" vertical="center"/>
    </xf>
    <xf numFmtId="0" fontId="0" fillId="0" borderId="0" xfId="0" applyAlignment="1">
      <alignment horizontal="right"/>
    </xf>
    <xf numFmtId="0" fontId="28" fillId="7" borderId="0" xfId="0" applyFont="1" applyFill="1" applyAlignment="1">
      <alignment horizontal="center" vertical="center"/>
    </xf>
    <xf numFmtId="0" fontId="28" fillId="7" borderId="1" xfId="0" applyFont="1" applyFill="1" applyBorder="1" applyAlignment="1">
      <alignment horizontal="center" vertical="center"/>
    </xf>
    <xf numFmtId="0" fontId="28" fillId="7" borderId="2" xfId="0" applyFont="1" applyFill="1" applyBorder="1" applyAlignment="1">
      <alignment horizontal="center" vertical="center"/>
    </xf>
    <xf numFmtId="165" fontId="0" fillId="0" borderId="0" xfId="0" applyNumberFormat="1"/>
    <xf numFmtId="0" fontId="0" fillId="0" borderId="0" xfId="0" applyAlignment="1">
      <alignment horizontal="center"/>
    </xf>
    <xf numFmtId="165" fontId="0" fillId="0" borderId="0" xfId="1" applyNumberFormat="1" applyFont="1" applyBorder="1"/>
    <xf numFmtId="165" fontId="0" fillId="0" borderId="2" xfId="1" applyNumberFormat="1" applyFont="1" applyBorder="1"/>
    <xf numFmtId="0" fontId="28" fillId="7" borderId="11" xfId="0" applyFont="1" applyFill="1" applyBorder="1" applyAlignment="1">
      <alignment horizontal="center" vertical="center"/>
    </xf>
    <xf numFmtId="0" fontId="0" fillId="0" borderId="11" xfId="0" applyBorder="1"/>
    <xf numFmtId="0" fontId="29" fillId="0" borderId="0" xfId="0" applyFont="1" applyAlignment="1">
      <alignment vertical="center"/>
    </xf>
    <xf numFmtId="0" fontId="29" fillId="0" borderId="0" xfId="0" applyFont="1" applyAlignment="1">
      <alignment horizontal="center" vertical="center"/>
    </xf>
    <xf numFmtId="9" fontId="29" fillId="0" borderId="0" xfId="3" applyFont="1" applyAlignment="1">
      <alignment horizontal="center" vertical="center"/>
    </xf>
    <xf numFmtId="165" fontId="29" fillId="0" borderId="0" xfId="1" applyNumberFormat="1" applyFont="1" applyAlignment="1">
      <alignment horizontal="center" vertical="center"/>
    </xf>
    <xf numFmtId="0" fontId="0" fillId="0" borderId="13" xfId="0" applyBorder="1"/>
    <xf numFmtId="0" fontId="0" fillId="0" borderId="10" xfId="0" applyBorder="1"/>
    <xf numFmtId="0" fontId="0" fillId="0" borderId="14" xfId="0" applyBorder="1"/>
    <xf numFmtId="0" fontId="0" fillId="0" borderId="15" xfId="0" applyBorder="1"/>
    <xf numFmtId="0" fontId="31" fillId="0" borderId="15" xfId="0" applyFont="1" applyBorder="1"/>
    <xf numFmtId="0" fontId="4" fillId="0" borderId="16" xfId="0" applyFont="1" applyBorder="1" applyAlignment="1">
      <alignment horizontal="center"/>
    </xf>
    <xf numFmtId="0" fontId="0" fillId="0" borderId="17" xfId="0" applyBorder="1" applyAlignment="1">
      <alignment horizontal="center"/>
    </xf>
    <xf numFmtId="0" fontId="4" fillId="0" borderId="0" xfId="0" applyFont="1" applyAlignment="1">
      <alignment horizontal="center"/>
    </xf>
    <xf numFmtId="165" fontId="0" fillId="0" borderId="0" xfId="1" applyNumberFormat="1" applyFont="1" applyAlignment="1">
      <alignment horizontal="center"/>
    </xf>
    <xf numFmtId="165" fontId="0" fillId="0" borderId="17" xfId="1" applyNumberFormat="1" applyFont="1" applyBorder="1" applyAlignment="1">
      <alignment horizontal="center"/>
    </xf>
    <xf numFmtId="165" fontId="4" fillId="0" borderId="0" xfId="1" applyNumberFormat="1" applyFont="1" applyAlignment="1">
      <alignment horizontal="center"/>
    </xf>
    <xf numFmtId="0" fontId="32" fillId="0" borderId="0" xfId="0" applyFont="1" applyAlignment="1">
      <alignment horizontal="left" vertical="center" indent="1"/>
    </xf>
    <xf numFmtId="165" fontId="32" fillId="0" borderId="0" xfId="1" applyNumberFormat="1" applyFont="1" applyBorder="1" applyAlignment="1">
      <alignment vertical="center"/>
    </xf>
    <xf numFmtId="0" fontId="16" fillId="0" borderId="18" xfId="0" applyFont="1" applyBorder="1" applyAlignment="1">
      <alignment horizontal="left" vertical="center" indent="1"/>
    </xf>
    <xf numFmtId="167" fontId="6" fillId="0" borderId="0" xfId="2" applyNumberFormat="1" applyFont="1" applyAlignment="1">
      <alignment horizontal="left" indent="1"/>
    </xf>
    <xf numFmtId="168" fontId="6" fillId="0" borderId="0" xfId="1" applyNumberFormat="1" applyFont="1" applyAlignment="1">
      <alignment horizontal="left" indent="1"/>
    </xf>
    <xf numFmtId="169" fontId="6" fillId="0" borderId="0" xfId="2" applyNumberFormat="1" applyFont="1" applyAlignment="1">
      <alignment horizontal="left" indent="1"/>
    </xf>
    <xf numFmtId="0" fontId="3" fillId="4" borderId="19" xfId="0" applyFont="1" applyFill="1" applyBorder="1" applyAlignment="1">
      <alignment horizontal="center" vertical="center"/>
    </xf>
    <xf numFmtId="43" fontId="32" fillId="0" borderId="0" xfId="1" applyFont="1" applyBorder="1" applyAlignment="1">
      <alignment vertical="center"/>
    </xf>
    <xf numFmtId="21" fontId="0" fillId="0" borderId="0" xfId="0" applyNumberFormat="1"/>
    <xf numFmtId="0" fontId="0" fillId="0" borderId="20" xfId="0" applyBorder="1" applyAlignment="1">
      <alignment horizontal="center" vertical="center"/>
    </xf>
    <xf numFmtId="0" fontId="0" fillId="0" borderId="0" xfId="0" applyAlignment="1">
      <alignment horizontal="center" vertical="center"/>
    </xf>
    <xf numFmtId="0" fontId="0" fillId="0" borderId="16" xfId="0" applyBorder="1" applyAlignment="1">
      <alignment horizontal="center" vertical="center"/>
    </xf>
    <xf numFmtId="165" fontId="0" fillId="0" borderId="0" xfId="1" applyNumberFormat="1" applyFont="1" applyBorder="1" applyAlignment="1">
      <alignment horizontal="center" vertical="center"/>
    </xf>
    <xf numFmtId="0" fontId="19" fillId="0" borderId="0" xfId="0" applyFont="1"/>
    <xf numFmtId="0" fontId="6" fillId="0" borderId="0" xfId="0" applyFont="1"/>
    <xf numFmtId="165" fontId="0" fillId="0" borderId="16" xfId="1" applyNumberFormat="1" applyFont="1" applyBorder="1" applyAlignment="1">
      <alignment horizontal="center" vertical="center"/>
    </xf>
    <xf numFmtId="0" fontId="34" fillId="4" borderId="0" xfId="0" applyFont="1" applyFill="1"/>
    <xf numFmtId="0" fontId="0" fillId="0" borderId="12" xfId="0" applyBorder="1" applyAlignment="1">
      <alignment horizontal="right"/>
    </xf>
    <xf numFmtId="0" fontId="4" fillId="0" borderId="12" xfId="0" applyFont="1" applyBorder="1"/>
    <xf numFmtId="9" fontId="0" fillId="0" borderId="0" xfId="3" applyFont="1"/>
    <xf numFmtId="43" fontId="0" fillId="0" borderId="0" xfId="0" applyNumberFormat="1"/>
    <xf numFmtId="14" fontId="6" fillId="0" borderId="0" xfId="0" applyNumberFormat="1" applyFont="1" applyAlignment="1">
      <alignment horizontal="left" indent="1"/>
    </xf>
    <xf numFmtId="0" fontId="0" fillId="0" borderId="0" xfId="0" applyAlignment="1">
      <alignment horizontal="left" indent="2"/>
    </xf>
    <xf numFmtId="0" fontId="7" fillId="0" borderId="0" xfId="0" applyFont="1" applyAlignment="1">
      <alignment vertical="top" wrapText="1"/>
    </xf>
    <xf numFmtId="0" fontId="21" fillId="0" borderId="0" xfId="0" applyFont="1" applyAlignment="1">
      <alignment horizontal="left" wrapText="1" indent="2"/>
    </xf>
    <xf numFmtId="0" fontId="7" fillId="0" borderId="0" xfId="0" applyFont="1" applyAlignment="1">
      <alignment horizontal="left" vertical="top" wrapText="1"/>
    </xf>
    <xf numFmtId="0" fontId="3" fillId="4" borderId="0" xfId="0" applyFont="1" applyFill="1" applyAlignment="1">
      <alignment horizontal="center" vertical="center"/>
    </xf>
    <xf numFmtId="0" fontId="7" fillId="0" borderId="0" xfId="0" applyFont="1" applyAlignment="1">
      <alignment horizontal="left" vertical="top" wrapText="1"/>
    </xf>
    <xf numFmtId="0" fontId="3" fillId="4" borderId="0" xfId="0" applyFont="1" applyFill="1" applyAlignment="1">
      <alignment horizontal="center"/>
    </xf>
    <xf numFmtId="0" fontId="5" fillId="4" borderId="0" xfId="0" applyFont="1" applyFill="1" applyAlignment="1">
      <alignment horizontal="left" vertical="center"/>
    </xf>
    <xf numFmtId="0" fontId="3" fillId="4" borderId="0" xfId="0" applyFont="1" applyFill="1" applyAlignment="1">
      <alignment horizontal="center" vertical="center"/>
    </xf>
    <xf numFmtId="0" fontId="5" fillId="4" borderId="0" xfId="0" applyFont="1" applyFill="1" applyAlignment="1">
      <alignment horizontal="center" vertical="center"/>
    </xf>
    <xf numFmtId="0" fontId="20" fillId="4" borderId="0" xfId="0" applyFont="1" applyFill="1" applyAlignment="1">
      <alignment horizontal="center" vertical="center"/>
    </xf>
    <xf numFmtId="0" fontId="4" fillId="0" borderId="8" xfId="0" applyFont="1" applyBorder="1" applyAlignment="1">
      <alignment horizontal="center"/>
    </xf>
    <xf numFmtId="0" fontId="4" fillId="0" borderId="9" xfId="0" applyFont="1" applyBorder="1" applyAlignment="1">
      <alignment horizontal="center"/>
    </xf>
    <xf numFmtId="0" fontId="6" fillId="9" borderId="10" xfId="0" applyFont="1" applyFill="1" applyBorder="1" applyAlignment="1">
      <alignment horizontal="center" vertical="center"/>
    </xf>
    <xf numFmtId="0" fontId="14" fillId="0" borderId="0" xfId="0" applyFont="1" applyAlignment="1">
      <alignment horizontal="right" indent="1"/>
    </xf>
    <xf numFmtId="166" fontId="6" fillId="9" borderId="10" xfId="0" applyNumberFormat="1" applyFont="1" applyFill="1" applyBorder="1" applyAlignment="1">
      <alignment horizontal="center" vertical="center"/>
    </xf>
    <xf numFmtId="164" fontId="0" fillId="0" borderId="20" xfId="0" applyNumberFormat="1" applyBorder="1" applyAlignment="1">
      <alignment horizontal="center" vertical="center"/>
    </xf>
    <xf numFmtId="164" fontId="0" fillId="0" borderId="0" xfId="0" applyNumberFormat="1" applyAlignment="1">
      <alignment horizontal="center" vertical="center"/>
    </xf>
    <xf numFmtId="164" fontId="0" fillId="0" borderId="16" xfId="0" applyNumberFormat="1" applyBorder="1" applyAlignment="1">
      <alignment horizontal="center" vertical="center"/>
    </xf>
    <xf numFmtId="0" fontId="26" fillId="8" borderId="0" xfId="0" applyFont="1" applyFill="1" applyAlignment="1">
      <alignment horizontal="left" vertical="center"/>
    </xf>
    <xf numFmtId="0" fontId="27" fillId="4" borderId="0" xfId="0" applyFont="1" applyFill="1" applyAlignment="1">
      <alignment horizontal="left" vertical="center" indent="1"/>
    </xf>
    <xf numFmtId="0" fontId="33" fillId="10" borderId="0" xfId="0" applyFont="1" applyFill="1" applyAlignment="1">
      <alignment horizontal="center" vertical="center"/>
    </xf>
    <xf numFmtId="0" fontId="6" fillId="11" borderId="0" xfId="0" applyFont="1" applyFill="1" applyAlignment="1">
      <alignment horizontal="center" vertical="center"/>
    </xf>
  </cellXfs>
  <cellStyles count="4">
    <cellStyle name="Comma" xfId="1" builtinId="3"/>
    <cellStyle name="Currency" xfId="2" builtinId="4"/>
    <cellStyle name="Normal" xfId="0" builtinId="0"/>
    <cellStyle name="Percent" xfId="3" builtinId="5"/>
  </cellStyles>
  <dxfs count="127">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border diagonalUp="0" diagonalDown="0">
        <left style="thin">
          <color theme="0" tint="-0.24994659260841701"/>
        </left>
        <right style="thin">
          <color theme="0" tint="-0.24994659260841701"/>
        </right>
        <top/>
        <bottom/>
        <vertical/>
        <horizontal/>
      </border>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dxf>
    <dxf>
      <fill>
        <patternFill>
          <bgColor rgb="FF8080FF"/>
        </patternFill>
      </fill>
    </dxf>
    <dxf>
      <fill>
        <patternFill>
          <bgColor theme="0" tint="-4.9989318521683403E-2"/>
        </patternFill>
      </fill>
    </dxf>
    <dxf>
      <fill>
        <patternFill>
          <bgColor rgb="FFE6E6FF"/>
        </patternFill>
      </fill>
    </dxf>
    <dxf>
      <fill>
        <patternFill>
          <bgColor rgb="FFBFBFFF"/>
        </patternFill>
      </fill>
    </dxf>
    <dxf>
      <fill>
        <patternFill>
          <bgColor rgb="FF4D4DFF"/>
        </patternFill>
      </fill>
    </dxf>
    <dxf>
      <fill>
        <patternFill>
          <bgColor rgb="FF0000FF"/>
        </patternFill>
      </fill>
    </dxf>
    <dxf>
      <fill>
        <patternFill>
          <bgColor rgb="FFFF8383"/>
        </patternFill>
      </fill>
    </dxf>
    <dxf>
      <fill>
        <patternFill>
          <bgColor theme="0" tint="-4.9989318521683403E-2"/>
        </patternFill>
      </fill>
    </dxf>
    <dxf>
      <fill>
        <patternFill>
          <bgColor rgb="FFFFE6E6"/>
        </patternFill>
      </fill>
    </dxf>
    <dxf>
      <fill>
        <patternFill>
          <bgColor rgb="FFFFBFBF"/>
        </patternFill>
      </fill>
    </dxf>
    <dxf>
      <fill>
        <patternFill>
          <bgColor rgb="FFFF4D4D"/>
        </patternFill>
      </fill>
    </dxf>
    <dxf>
      <fill>
        <patternFill>
          <bgColor rgb="FFFF0000"/>
        </patternFill>
      </fill>
    </dxf>
    <dxf>
      <fill>
        <patternFill>
          <bgColor rgb="FF80D8A8"/>
        </patternFill>
      </fill>
    </dxf>
    <dxf>
      <fill>
        <patternFill>
          <bgColor theme="0" tint="-4.9989318521683403E-2"/>
        </patternFill>
      </fill>
    </dxf>
    <dxf>
      <fill>
        <patternFill>
          <bgColor rgb="FFE6F7EE"/>
        </patternFill>
      </fill>
    </dxf>
    <dxf>
      <fill>
        <patternFill>
          <bgColor rgb="FFBFEBD3"/>
        </patternFill>
      </fill>
    </dxf>
    <dxf>
      <fill>
        <patternFill>
          <bgColor rgb="FF4DC884"/>
        </patternFill>
      </fill>
    </dxf>
    <dxf>
      <fill>
        <patternFill>
          <bgColor rgb="FF00B050"/>
        </patternFill>
      </fill>
    </dxf>
    <dxf>
      <fill>
        <patternFill>
          <bgColor rgb="FFA0A0FF"/>
        </patternFill>
      </fill>
    </dxf>
    <dxf>
      <fill>
        <patternFill>
          <bgColor rgb="FFFF8C8C"/>
        </patternFill>
      </fill>
    </dxf>
    <dxf>
      <fill>
        <patternFill>
          <bgColor rgb="FF9BFFC8"/>
        </patternFill>
      </fill>
    </dxf>
    <dxf>
      <font>
        <b/>
        <i val="0"/>
      </font>
      <border>
        <left/>
        <right/>
        <top style="thin">
          <color auto="1"/>
        </top>
        <bottom/>
        <vertical/>
        <horizontal/>
      </border>
    </dxf>
    <dxf>
      <font>
        <b/>
        <i val="0"/>
        <color theme="0"/>
      </font>
      <fill>
        <patternFill>
          <bgColor rgb="FF0000FF"/>
        </patternFill>
      </fill>
    </dxf>
    <dxf>
      <font>
        <b/>
        <i val="0"/>
        <color theme="0"/>
      </font>
      <fill>
        <patternFill>
          <bgColor rgb="FFFF0000"/>
        </patternFill>
      </fill>
    </dxf>
    <dxf>
      <font>
        <b/>
        <i val="0"/>
        <color theme="0"/>
      </font>
      <fill>
        <patternFill>
          <bgColor rgb="FF00B050"/>
        </patternFill>
      </fill>
    </dxf>
    <dxf>
      <font>
        <strike val="0"/>
        <outline val="0"/>
        <shadow val="0"/>
        <u val="none"/>
        <vertAlign val="baseline"/>
        <sz val="10"/>
        <color theme="0" tint="-0.14999847407452621"/>
        <name val="Calibri"/>
        <family val="2"/>
        <scheme val="minor"/>
      </font>
      <numFmt numFmtId="20" formatCode="d\-mmm\-yy"/>
      <alignment horizontal="left" vertical="bottom" textRotation="0" wrapText="0" indent="1" justifyLastLine="0" shrinkToFit="0" readingOrder="0"/>
    </dxf>
    <dxf>
      <font>
        <strike val="0"/>
        <outline val="0"/>
        <shadow val="0"/>
        <u val="none"/>
        <vertAlign val="baseline"/>
        <sz val="10"/>
        <color theme="0" tint="-0.499984740745262"/>
        <name val="Calibri"/>
        <family val="2"/>
        <scheme val="minor"/>
      </font>
      <numFmt numFmtId="165" formatCode="_(* #,##0_);_(* \(#,##0\);_(* &quot;-&quot;??_);_(@_)"/>
      <alignment horizontal="left" vertical="bottom" textRotation="0" wrapText="0" indent="2" justifyLastLine="0" shrinkToFit="0" readingOrder="0"/>
    </dxf>
    <dxf>
      <font>
        <strike val="0"/>
        <outline val="0"/>
        <shadow val="0"/>
        <u val="none"/>
        <vertAlign val="baseline"/>
        <sz val="10"/>
        <color theme="0" tint="-0.499984740745262"/>
        <name val="Calibri"/>
        <family val="2"/>
        <scheme val="minor"/>
      </font>
      <numFmt numFmtId="165" formatCode="_(* #,##0_);_(* \(#,##0\);_(* &quot;-&quot;??_);_(@_)"/>
      <alignment horizontal="left" vertical="bottom" textRotation="0" wrapText="0" indent="2" justifyLastLine="0" shrinkToFit="0" readingOrder="0"/>
    </dxf>
    <dxf>
      <font>
        <strike val="0"/>
        <outline val="0"/>
        <shadow val="0"/>
        <u val="none"/>
        <vertAlign val="baseline"/>
        <sz val="10"/>
        <color theme="0" tint="-0.499984740745262"/>
        <name val="Calibri"/>
        <family val="2"/>
        <scheme val="minor"/>
      </font>
      <numFmt numFmtId="165" formatCode="_(* #,##0_);_(* \(#,##0\);_(* &quot;-&quot;??_);_(@_)"/>
      <alignment horizontal="left" vertical="bottom" textRotation="0" wrapText="0" indent="2" justifyLastLine="0" shrinkToFit="0" readingOrder="0"/>
    </dxf>
    <dxf>
      <font>
        <strike val="0"/>
        <outline val="0"/>
        <shadow val="0"/>
        <u val="none"/>
        <vertAlign val="baseline"/>
        <sz val="10"/>
        <color theme="0" tint="-0.499984740745262"/>
        <name val="Calibri"/>
        <family val="2"/>
        <scheme val="minor"/>
      </font>
      <alignment horizontal="left" vertical="bottom" textRotation="0" wrapText="0" indent="2" justifyLastLine="0" shrinkToFit="0" readingOrder="0"/>
    </dxf>
    <dxf>
      <font>
        <strike val="0"/>
        <outline val="0"/>
        <shadow val="0"/>
        <u val="none"/>
        <vertAlign val="baseline"/>
        <sz val="10"/>
        <color theme="1"/>
        <name val="Calibri"/>
        <family val="2"/>
        <scheme val="minor"/>
      </font>
      <numFmt numFmtId="169" formatCode="_([$€-2]\ * #,##0_);_([$€-2]\ * \(#,##0\);_([$€-2]\ * &quot;-&quot;??_);_(@_)"/>
      <alignment horizontal="left" vertical="bottom" textRotation="0" wrapText="0" indent="1" justifyLastLine="0" shrinkToFit="0" readingOrder="0"/>
    </dxf>
    <dxf>
      <font>
        <strike val="0"/>
        <outline val="0"/>
        <shadow val="0"/>
        <u val="none"/>
        <vertAlign val="baseline"/>
        <sz val="10"/>
        <color theme="1"/>
        <name val="Calibri"/>
        <family val="2"/>
        <scheme val="minor"/>
      </font>
      <numFmt numFmtId="168" formatCode="_([$LBP]\ * #,##0_);_([$LBP]\ * \(#,##0\);_([$LBP]\ * &quot;-&quot;??_);_(@_)"/>
      <alignment horizontal="left" vertical="bottom" textRotation="0" wrapText="0" indent="1" justifyLastLine="0" shrinkToFit="0" readingOrder="0"/>
    </dxf>
    <dxf>
      <font>
        <strike val="0"/>
        <outline val="0"/>
        <shadow val="0"/>
        <u val="none"/>
        <vertAlign val="baseline"/>
        <sz val="10"/>
        <color theme="1"/>
        <name val="Calibri"/>
        <family val="2"/>
        <scheme val="minor"/>
      </font>
      <numFmt numFmtId="167" formatCode="_(&quot;$&quot;* #,##0_);_(&quot;$&quot;* \(#,##0\);_(&quot;$&quot;* &quot;-&quot;??_);_(@_)"/>
      <alignment horizontal="left" vertical="bottom" textRotation="0" wrapText="0" indent="1" justifyLastLine="0" shrinkToFit="0" readingOrder="0"/>
    </dxf>
    <dxf>
      <font>
        <strike val="0"/>
        <outline val="0"/>
        <shadow val="0"/>
        <u val="none"/>
        <vertAlign val="baseline"/>
        <sz val="10"/>
        <color theme="1"/>
        <name val="Calibri"/>
        <family val="2"/>
        <scheme val="minor"/>
      </font>
      <alignment horizontal="left" vertical="bottom" textRotation="0" wrapText="0" indent="1" justifyLastLine="0" shrinkToFit="0" readingOrder="0"/>
    </dxf>
    <dxf>
      <font>
        <strike val="0"/>
        <outline val="0"/>
        <shadow val="0"/>
        <u val="none"/>
        <vertAlign val="baseline"/>
        <sz val="10"/>
        <color theme="1"/>
        <name val="Calibri"/>
        <family val="2"/>
        <scheme val="minor"/>
      </font>
      <alignment horizontal="left" vertical="bottom" textRotation="0" wrapText="0" indent="1" justifyLastLine="0" shrinkToFit="0" readingOrder="0"/>
    </dxf>
    <dxf>
      <font>
        <strike val="0"/>
        <outline val="0"/>
        <shadow val="0"/>
        <u val="none"/>
        <vertAlign val="baseline"/>
        <sz val="10"/>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1"/>
        <name val="Calibri"/>
        <family val="2"/>
        <scheme val="minor"/>
      </font>
      <numFmt numFmtId="20" formatCode="d\-mmm\-yy"/>
      <alignment horizontal="left" vertical="bottom" textRotation="0" wrapText="0" indent="1" justifyLastLine="0" shrinkToFit="0" readingOrder="0"/>
    </dxf>
    <dxf>
      <font>
        <strike val="0"/>
        <outline val="0"/>
        <shadow val="0"/>
        <u val="none"/>
        <vertAlign val="baseline"/>
        <sz val="10"/>
        <color theme="1"/>
        <name val="Calibri"/>
        <family val="2"/>
        <scheme val="minor"/>
      </font>
      <numFmt numFmtId="20" formatCode="d\-mmm\-yy"/>
      <alignment horizontal="left" vertical="bottom" textRotation="0" wrapText="0" indent="1" justifyLastLine="0" shrinkToFit="0" readingOrder="0"/>
    </dxf>
    <dxf>
      <font>
        <strike val="0"/>
        <outline val="0"/>
        <shadow val="0"/>
        <u val="none"/>
        <vertAlign val="baseline"/>
        <sz val="10"/>
        <color theme="1"/>
        <name val="Calibri"/>
        <family val="2"/>
        <scheme val="minor"/>
      </font>
      <alignment horizontal="left" vertical="bottom" textRotation="0" wrapText="0" relativeIndent="1" justifyLastLine="0" shrinkToFit="0" readingOrder="0"/>
    </dxf>
    <dxf>
      <font>
        <strike val="0"/>
        <outline val="0"/>
        <shadow val="0"/>
        <u val="none"/>
        <vertAlign val="baseline"/>
        <sz val="11"/>
        <color theme="1"/>
        <name val="Calibri"/>
        <family val="2"/>
        <scheme val="minor"/>
      </font>
      <alignment horizontal="left" vertical="center" textRotation="0" wrapText="0" relativeIndent="1" justifyLastLine="0" shrinkToFit="0" readingOrder="0"/>
    </dxf>
    <dxf>
      <font>
        <color theme="0" tint="-0.499984740745262"/>
      </font>
      <numFmt numFmtId="170" formatCode="\→\ d\-mmm\-yy"/>
    </dxf>
    <dxf>
      <font>
        <b/>
        <i val="0"/>
        <color rgb="FF00B050"/>
      </font>
      <numFmt numFmtId="5" formatCode="#,##0_);\(#,##0\)"/>
    </dxf>
    <dxf>
      <font>
        <b/>
        <i val="0"/>
        <color rgb="FF00B050"/>
      </font>
      <numFmt numFmtId="5" formatCode="#,##0_);\(#,##0\)"/>
    </dxf>
    <dxf>
      <font>
        <b/>
        <i val="0"/>
        <color rgb="FF00B050"/>
      </font>
      <numFmt numFmtId="5" formatCode="#,##0_);\(#,##0\)"/>
    </dxf>
    <dxf>
      <font>
        <color rgb="FFFF0000"/>
      </font>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bottom" textRotation="0" wrapText="0" indent="1" justifyLastLine="0" shrinkToFit="0" readingOrder="0"/>
    </dxf>
    <dxf>
      <font>
        <color rgb="FFFF0000"/>
      </font>
    </dxf>
    <dxf>
      <font>
        <color rgb="FF00B050"/>
      </font>
    </dxf>
    <dxf>
      <font>
        <color theme="0" tint="-0.24994659260841701"/>
      </font>
    </dxf>
    <dxf>
      <font>
        <color rgb="FF000000"/>
      </font>
      <fill>
        <patternFill>
          <bgColor rgb="FFA0A0FF"/>
        </patternFill>
      </fill>
    </dxf>
    <dxf>
      <font>
        <color rgb="FF000000"/>
      </font>
      <fill>
        <patternFill>
          <bgColor rgb="FFFF8C8C"/>
        </patternFill>
      </fill>
    </dxf>
    <dxf>
      <font>
        <color rgb="FF000000"/>
      </font>
      <fill>
        <patternFill>
          <bgColor rgb="FF9BFFC8"/>
        </patternFill>
      </fill>
    </dxf>
    <dxf>
      <font>
        <color theme="0" tint="-0.24994659260841701"/>
      </font>
      <fill>
        <patternFill>
          <bgColor theme="0" tint="-4.9989318521683403E-2"/>
        </patternFill>
      </fill>
    </dxf>
    <dxf>
      <fill>
        <patternFill>
          <bgColor theme="0" tint="-4.9989318521683403E-2"/>
        </patternFill>
      </fill>
    </dxf>
    <dxf>
      <font>
        <b/>
        <i val="0"/>
        <color theme="0"/>
      </font>
      <fill>
        <patternFill>
          <bgColor rgb="FF002060"/>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color theme="0"/>
      </font>
      <fill>
        <patternFill>
          <bgColor rgb="FF0000FF"/>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rgb="FF00B050"/>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rgb="FFFF0000"/>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4" defaultTableStyle="TableStyleMedium2" defaultPivotStyle="PivotStyleLight16">
    <tableStyle name="Expenses Table Style" pivot="0" count="2" xr9:uid="{F3FD6738-9338-48ED-B705-11079D9F3306}">
      <tableStyleElement type="wholeTable" dxfId="126"/>
      <tableStyleElement type="headerRow" dxfId="125"/>
    </tableStyle>
    <tableStyle name="Income Table Style" pivot="0" count="2" xr9:uid="{0A3C2786-3956-48A5-991B-16512430C219}">
      <tableStyleElement type="wholeTable" dxfId="124"/>
      <tableStyleElement type="headerRow" dxfId="123"/>
    </tableStyle>
    <tableStyle name="Savings Table Style" pivot="0" count="2" xr9:uid="{472030AE-37F9-4F1E-801F-E6A6C39FF65C}">
      <tableStyleElement type="wholeTable" dxfId="122"/>
      <tableStyleElement type="headerRow" dxfId="121"/>
    </tableStyle>
    <tableStyle name="Tracking Table Style" pivot="0" count="3" xr9:uid="{60E6AF09-6EAF-4D7C-9B2F-8EBAFF876BED}">
      <tableStyleElement type="wholeTable" dxfId="120"/>
      <tableStyleElement type="headerRow" dxfId="119"/>
      <tableStyleElement type="firstRowStripe" dxfId="118"/>
    </tableStyle>
  </tableStyles>
  <colors>
    <mruColors>
      <color rgb="FF0000FF"/>
      <color rgb="FF002060"/>
      <color rgb="FFBFBFFF"/>
      <color rgb="FFFFBFBF"/>
      <color rgb="FFFF4D4D"/>
      <color rgb="FF4D4DFF"/>
      <color rgb="FFE6F7EE"/>
      <color rgb="FFFFE6E6"/>
      <color rgb="FF4DC884"/>
      <color rgb="FFBFEB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FD3D-43C3-8AE9-55D33666B8BC}"/>
              </c:ext>
            </c:extLst>
          </c:dPt>
          <c:dPt>
            <c:idx val="1"/>
            <c:bubble3D val="0"/>
            <c:spPr>
              <a:solidFill>
                <a:srgbClr val="4DC884"/>
              </a:solidFill>
              <a:ln w="19050">
                <a:solidFill>
                  <a:schemeClr val="lt1"/>
                </a:solidFill>
              </a:ln>
              <a:effectLst/>
            </c:spPr>
            <c:extLst>
              <c:ext xmlns:c16="http://schemas.microsoft.com/office/drawing/2014/chart" uri="{C3380CC4-5D6E-409C-BE32-E72D297353CC}">
                <c16:uniqueId val="{00000003-FD3D-43C3-8AE9-55D33666B8BC}"/>
              </c:ext>
            </c:extLst>
          </c:dPt>
          <c:dPt>
            <c:idx val="2"/>
            <c:bubble3D val="0"/>
            <c:spPr>
              <a:solidFill>
                <a:srgbClr val="80D8A8"/>
              </a:solidFill>
              <a:ln w="19050">
                <a:solidFill>
                  <a:schemeClr val="lt1"/>
                </a:solidFill>
              </a:ln>
              <a:effectLst/>
            </c:spPr>
            <c:extLst>
              <c:ext xmlns:c16="http://schemas.microsoft.com/office/drawing/2014/chart" uri="{C3380CC4-5D6E-409C-BE32-E72D297353CC}">
                <c16:uniqueId val="{00000005-FD3D-43C3-8AE9-55D33666B8BC}"/>
              </c:ext>
            </c:extLst>
          </c:dPt>
          <c:dPt>
            <c:idx val="3"/>
            <c:bubble3D val="0"/>
            <c:spPr>
              <a:solidFill>
                <a:srgbClr val="BFEBD3"/>
              </a:solidFill>
              <a:ln w="19050">
                <a:solidFill>
                  <a:schemeClr val="lt1"/>
                </a:solidFill>
              </a:ln>
              <a:effectLst/>
            </c:spPr>
            <c:extLst>
              <c:ext xmlns:c16="http://schemas.microsoft.com/office/drawing/2014/chart" uri="{C3380CC4-5D6E-409C-BE32-E72D297353CC}">
                <c16:uniqueId val="{00000007-FD3D-43C3-8AE9-55D33666B8BC}"/>
              </c:ext>
            </c:extLst>
          </c:dPt>
          <c:dPt>
            <c:idx val="4"/>
            <c:bubble3D val="0"/>
            <c:spPr>
              <a:solidFill>
                <a:srgbClr val="E6F7EE"/>
              </a:solidFill>
              <a:ln w="19050">
                <a:solidFill>
                  <a:schemeClr val="lt1"/>
                </a:solidFill>
              </a:ln>
              <a:effectLst/>
            </c:spPr>
            <c:extLst>
              <c:ext xmlns:c16="http://schemas.microsoft.com/office/drawing/2014/chart" uri="{C3380CC4-5D6E-409C-BE32-E72D297353CC}">
                <c16:uniqueId val="{00000009-FD3D-43C3-8AE9-55D33666B8BC}"/>
              </c:ext>
            </c:extLst>
          </c:dPt>
          <c:dPt>
            <c:idx val="5"/>
            <c:bubble3D val="0"/>
            <c:spPr>
              <a:solidFill>
                <a:schemeClr val="bg1">
                  <a:lumMod val="85000"/>
                  <a:alpha val="20000"/>
                </a:schemeClr>
              </a:solidFill>
              <a:ln w="19050">
                <a:solidFill>
                  <a:schemeClr val="lt1"/>
                </a:solidFill>
              </a:ln>
              <a:effectLst/>
            </c:spPr>
            <c:extLst>
              <c:ext xmlns:c16="http://schemas.microsoft.com/office/drawing/2014/chart" uri="{C3380CC4-5D6E-409C-BE32-E72D297353CC}">
                <c16:uniqueId val="{0000000B-FD3D-43C3-8AE9-55D33666B8BC}"/>
              </c:ext>
            </c:extLst>
          </c:dPt>
          <c:cat>
            <c:multiLvlStrRef>
              <c:f>Calculations!$E$39:$E$44</c:f>
            </c:multiLvlStrRef>
          </c:cat>
          <c:val>
            <c:numRef>
              <c:f>Calculations!$F$39:$F$44</c:f>
              <c:numCache>
                <c:formatCode>_(* #,##0_);_(* \(#,##0\);_(*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FD3D-43C3-8AE9-55D33666B8BC}"/>
            </c:ext>
          </c:extLst>
        </c:ser>
        <c:ser>
          <c:idx val="1"/>
          <c:order val="1"/>
          <c:dPt>
            <c:idx val="0"/>
            <c:bubble3D val="0"/>
            <c:spPr>
              <a:solidFill>
                <a:srgbClr val="00B050"/>
              </a:solidFill>
              <a:ln w="19050">
                <a:solidFill>
                  <a:schemeClr val="lt1"/>
                </a:solidFill>
              </a:ln>
              <a:effectLst/>
            </c:spPr>
            <c:extLst>
              <c:ext xmlns:c16="http://schemas.microsoft.com/office/drawing/2014/chart" uri="{C3380CC4-5D6E-409C-BE32-E72D297353CC}">
                <c16:uniqueId val="{0000000E-FD3D-43C3-8AE9-55D33666B8BC}"/>
              </c:ext>
            </c:extLst>
          </c:dPt>
          <c:dPt>
            <c:idx val="1"/>
            <c:bubble3D val="0"/>
            <c:spPr>
              <a:solidFill>
                <a:srgbClr val="4DC884"/>
              </a:solidFill>
              <a:ln w="19050">
                <a:solidFill>
                  <a:schemeClr val="lt1"/>
                </a:solidFill>
              </a:ln>
              <a:effectLst/>
            </c:spPr>
            <c:extLst>
              <c:ext xmlns:c16="http://schemas.microsoft.com/office/drawing/2014/chart" uri="{C3380CC4-5D6E-409C-BE32-E72D297353CC}">
                <c16:uniqueId val="{00000010-FD3D-43C3-8AE9-55D33666B8BC}"/>
              </c:ext>
            </c:extLst>
          </c:dPt>
          <c:dPt>
            <c:idx val="2"/>
            <c:bubble3D val="0"/>
            <c:spPr>
              <a:solidFill>
                <a:srgbClr val="80D8A8"/>
              </a:solidFill>
              <a:ln w="19050">
                <a:solidFill>
                  <a:schemeClr val="lt1"/>
                </a:solidFill>
              </a:ln>
              <a:effectLst/>
            </c:spPr>
            <c:extLst>
              <c:ext xmlns:c16="http://schemas.microsoft.com/office/drawing/2014/chart" uri="{C3380CC4-5D6E-409C-BE32-E72D297353CC}">
                <c16:uniqueId val="{00000012-FD3D-43C3-8AE9-55D33666B8BC}"/>
              </c:ext>
            </c:extLst>
          </c:dPt>
          <c:dPt>
            <c:idx val="3"/>
            <c:bubble3D val="0"/>
            <c:spPr>
              <a:solidFill>
                <a:srgbClr val="BFEBD3"/>
              </a:solidFill>
              <a:ln w="19050">
                <a:solidFill>
                  <a:schemeClr val="lt1"/>
                </a:solidFill>
              </a:ln>
              <a:effectLst/>
            </c:spPr>
            <c:extLst>
              <c:ext xmlns:c16="http://schemas.microsoft.com/office/drawing/2014/chart" uri="{C3380CC4-5D6E-409C-BE32-E72D297353CC}">
                <c16:uniqueId val="{00000014-FD3D-43C3-8AE9-55D33666B8BC}"/>
              </c:ext>
            </c:extLst>
          </c:dPt>
          <c:dPt>
            <c:idx val="4"/>
            <c:bubble3D val="0"/>
            <c:spPr>
              <a:solidFill>
                <a:srgbClr val="E6F7EE"/>
              </a:solidFill>
              <a:ln w="19050">
                <a:solidFill>
                  <a:schemeClr val="lt1"/>
                </a:solidFill>
              </a:ln>
              <a:effectLst/>
            </c:spPr>
            <c:extLst>
              <c:ext xmlns:c16="http://schemas.microsoft.com/office/drawing/2014/chart" uri="{C3380CC4-5D6E-409C-BE32-E72D297353CC}">
                <c16:uniqueId val="{00000016-FD3D-43C3-8AE9-55D33666B8BC}"/>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8-FD3D-43C3-8AE9-55D33666B8BC}"/>
              </c:ext>
            </c:extLst>
          </c:dPt>
          <c:cat>
            <c:multiLvlStrRef>
              <c:f>Calculations!$E$39:$E$44</c:f>
            </c:multiLvlStrRef>
          </c:cat>
          <c:val>
            <c:numRef>
              <c:f>Calculations!$G$39:$G$44</c:f>
              <c:numCache>
                <c:formatCode>_(* #,##0_);_(* \(#,##0\);_(*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19-FD3D-43C3-8AE9-55D33666B8BC}"/>
            </c:ext>
          </c:extLst>
        </c:ser>
        <c:ser>
          <c:idx val="2"/>
          <c:order val="2"/>
          <c:dPt>
            <c:idx val="0"/>
            <c:bubble3D val="0"/>
            <c:spPr>
              <a:solidFill>
                <a:srgbClr val="00B050"/>
              </a:solidFill>
              <a:ln w="19050">
                <a:solidFill>
                  <a:schemeClr val="lt1"/>
                </a:solidFill>
              </a:ln>
              <a:effectLst/>
            </c:spPr>
            <c:extLst>
              <c:ext xmlns:c16="http://schemas.microsoft.com/office/drawing/2014/chart" uri="{C3380CC4-5D6E-409C-BE32-E72D297353CC}">
                <c16:uniqueId val="{0000001B-FD3D-43C3-8AE9-55D33666B8BC}"/>
              </c:ext>
            </c:extLst>
          </c:dPt>
          <c:dPt>
            <c:idx val="1"/>
            <c:bubble3D val="0"/>
            <c:spPr>
              <a:solidFill>
                <a:srgbClr val="4DC884"/>
              </a:solidFill>
              <a:ln w="19050">
                <a:solidFill>
                  <a:schemeClr val="lt1"/>
                </a:solidFill>
              </a:ln>
              <a:effectLst/>
            </c:spPr>
            <c:extLst>
              <c:ext xmlns:c16="http://schemas.microsoft.com/office/drawing/2014/chart" uri="{C3380CC4-5D6E-409C-BE32-E72D297353CC}">
                <c16:uniqueId val="{0000001D-FD3D-43C3-8AE9-55D33666B8BC}"/>
              </c:ext>
            </c:extLst>
          </c:dPt>
          <c:dPt>
            <c:idx val="2"/>
            <c:bubble3D val="0"/>
            <c:spPr>
              <a:solidFill>
                <a:srgbClr val="80D8A8"/>
              </a:solidFill>
              <a:ln w="19050">
                <a:solidFill>
                  <a:schemeClr val="lt1"/>
                </a:solidFill>
              </a:ln>
              <a:effectLst/>
            </c:spPr>
            <c:extLst>
              <c:ext xmlns:c16="http://schemas.microsoft.com/office/drawing/2014/chart" uri="{C3380CC4-5D6E-409C-BE32-E72D297353CC}">
                <c16:uniqueId val="{0000001F-FD3D-43C3-8AE9-55D33666B8BC}"/>
              </c:ext>
            </c:extLst>
          </c:dPt>
          <c:dPt>
            <c:idx val="3"/>
            <c:bubble3D val="0"/>
            <c:spPr>
              <a:solidFill>
                <a:srgbClr val="BFEBD3"/>
              </a:solidFill>
              <a:ln w="19050">
                <a:solidFill>
                  <a:schemeClr val="lt1"/>
                </a:solidFill>
              </a:ln>
              <a:effectLst/>
            </c:spPr>
            <c:extLst>
              <c:ext xmlns:c16="http://schemas.microsoft.com/office/drawing/2014/chart" uri="{C3380CC4-5D6E-409C-BE32-E72D297353CC}">
                <c16:uniqueId val="{00000021-FD3D-43C3-8AE9-55D33666B8BC}"/>
              </c:ext>
            </c:extLst>
          </c:dPt>
          <c:dPt>
            <c:idx val="4"/>
            <c:bubble3D val="0"/>
            <c:spPr>
              <a:solidFill>
                <a:srgbClr val="E6F7EE"/>
              </a:solidFill>
              <a:ln w="19050">
                <a:solidFill>
                  <a:schemeClr val="lt1"/>
                </a:solidFill>
              </a:ln>
              <a:effectLst/>
            </c:spPr>
            <c:extLst>
              <c:ext xmlns:c16="http://schemas.microsoft.com/office/drawing/2014/chart" uri="{C3380CC4-5D6E-409C-BE32-E72D297353CC}">
                <c16:uniqueId val="{00000023-FD3D-43C3-8AE9-55D33666B8BC}"/>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25-FD3D-43C3-8AE9-55D33666B8BC}"/>
              </c:ext>
            </c:extLst>
          </c:dPt>
          <c:cat>
            <c:multiLvlStrRef>
              <c:f>Calculations!$E$39:$E$44</c:f>
            </c:multiLvlStrRef>
          </c:cat>
          <c:val>
            <c:numRef>
              <c:f>Calculations!$H$39:$H$44</c:f>
              <c:numCache>
                <c:formatCode>_(* #,##0_);_(* \(#,##0\);_(*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26-FD3D-43C3-8AE9-55D33666B8BC}"/>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375902138989603E-2"/>
          <c:y val="6.3917635295588041E-2"/>
          <c:w val="0.82524819572202079"/>
          <c:h val="0.82454630671166107"/>
        </c:manualLayout>
      </c:layout>
      <c:doughnutChart>
        <c:varyColors val="1"/>
        <c:ser>
          <c:idx val="0"/>
          <c:order val="0"/>
          <c:spPr>
            <a:solidFill>
              <a:srgbClr val="00B050"/>
            </a:solidFill>
          </c:spPr>
          <c:dPt>
            <c:idx val="0"/>
            <c:bubble3D val="0"/>
            <c:spPr>
              <a:solidFill>
                <a:srgbClr val="FF0000"/>
              </a:solidFill>
              <a:ln w="19050">
                <a:solidFill>
                  <a:schemeClr val="lt1"/>
                </a:solidFill>
              </a:ln>
              <a:effectLst/>
            </c:spPr>
            <c:extLst>
              <c:ext xmlns:c16="http://schemas.microsoft.com/office/drawing/2014/chart" uri="{C3380CC4-5D6E-409C-BE32-E72D297353CC}">
                <c16:uniqueId val="{00000001-7863-4C8A-A3ED-FBE7F864CE91}"/>
              </c:ext>
            </c:extLst>
          </c:dPt>
          <c:dPt>
            <c:idx val="1"/>
            <c:bubble3D val="0"/>
            <c:spPr>
              <a:solidFill>
                <a:srgbClr val="FF4D4D"/>
              </a:solidFill>
              <a:ln w="19050">
                <a:solidFill>
                  <a:schemeClr val="lt1"/>
                </a:solidFill>
              </a:ln>
              <a:effectLst/>
            </c:spPr>
            <c:extLst>
              <c:ext xmlns:c16="http://schemas.microsoft.com/office/drawing/2014/chart" uri="{C3380CC4-5D6E-409C-BE32-E72D297353CC}">
                <c16:uniqueId val="{00000003-7863-4C8A-A3ED-FBE7F864CE91}"/>
              </c:ext>
            </c:extLst>
          </c:dPt>
          <c:dPt>
            <c:idx val="2"/>
            <c:bubble3D val="0"/>
            <c:spPr>
              <a:solidFill>
                <a:srgbClr val="FF8080"/>
              </a:solidFill>
              <a:ln w="19050">
                <a:solidFill>
                  <a:schemeClr val="lt1"/>
                </a:solidFill>
              </a:ln>
              <a:effectLst/>
            </c:spPr>
            <c:extLst>
              <c:ext xmlns:c16="http://schemas.microsoft.com/office/drawing/2014/chart" uri="{C3380CC4-5D6E-409C-BE32-E72D297353CC}">
                <c16:uniqueId val="{00000005-7863-4C8A-A3ED-FBE7F864CE91}"/>
              </c:ext>
            </c:extLst>
          </c:dPt>
          <c:dPt>
            <c:idx val="3"/>
            <c:bubble3D val="0"/>
            <c:spPr>
              <a:solidFill>
                <a:srgbClr val="FFBFBF"/>
              </a:solidFill>
              <a:ln w="19050">
                <a:solidFill>
                  <a:schemeClr val="lt1"/>
                </a:solidFill>
              </a:ln>
              <a:effectLst/>
            </c:spPr>
            <c:extLst>
              <c:ext xmlns:c16="http://schemas.microsoft.com/office/drawing/2014/chart" uri="{C3380CC4-5D6E-409C-BE32-E72D297353CC}">
                <c16:uniqueId val="{00000007-7863-4C8A-A3ED-FBE7F864CE91}"/>
              </c:ext>
            </c:extLst>
          </c:dPt>
          <c:dPt>
            <c:idx val="4"/>
            <c:bubble3D val="0"/>
            <c:spPr>
              <a:solidFill>
                <a:srgbClr val="FFE6E6"/>
              </a:solidFill>
              <a:ln w="19050">
                <a:solidFill>
                  <a:schemeClr val="lt1"/>
                </a:solidFill>
              </a:ln>
              <a:effectLst/>
            </c:spPr>
            <c:extLst>
              <c:ext xmlns:c16="http://schemas.microsoft.com/office/drawing/2014/chart" uri="{C3380CC4-5D6E-409C-BE32-E72D297353CC}">
                <c16:uniqueId val="{00000009-7863-4C8A-A3ED-FBE7F864CE91}"/>
              </c:ext>
            </c:extLst>
          </c:dPt>
          <c:dPt>
            <c:idx val="5"/>
            <c:bubble3D val="0"/>
            <c:spPr>
              <a:solidFill>
                <a:schemeClr val="bg1">
                  <a:lumMod val="85000"/>
                  <a:alpha val="20000"/>
                </a:schemeClr>
              </a:solidFill>
              <a:ln w="19050">
                <a:solidFill>
                  <a:schemeClr val="lt1"/>
                </a:solidFill>
              </a:ln>
              <a:effectLst/>
            </c:spPr>
            <c:extLst>
              <c:ext xmlns:c16="http://schemas.microsoft.com/office/drawing/2014/chart" uri="{C3380CC4-5D6E-409C-BE32-E72D297353CC}">
                <c16:uniqueId val="{0000000B-7863-4C8A-A3ED-FBE7F864CE91}"/>
              </c:ext>
            </c:extLst>
          </c:dPt>
          <c:cat>
            <c:strRef>
              <c:f>Calculations!$K$39:$K$44</c:f>
              <c:strCache>
                <c:ptCount val="6"/>
                <c:pt idx="0">
                  <c:v>Health</c:v>
                </c:pt>
                <c:pt idx="1">
                  <c:v>Groceries</c:v>
                </c:pt>
                <c:pt idx="2">
                  <c:v>Car_Maintenance_Mazda</c:v>
                </c:pt>
                <c:pt idx="3">
                  <c:v>Shopping</c:v>
                </c:pt>
                <c:pt idx="4">
                  <c:v>Transportation</c:v>
                </c:pt>
                <c:pt idx="5">
                  <c:v>Other</c:v>
                </c:pt>
              </c:strCache>
            </c:strRef>
          </c:cat>
          <c:val>
            <c:numRef>
              <c:f>Calculations!$L$39:$L$44</c:f>
              <c:numCache>
                <c:formatCode>_(* #,##0_);_(* \(#,##0\);_(* "-"??_);_(@_)</c:formatCode>
                <c:ptCount val="6"/>
                <c:pt idx="0">
                  <c:v>248</c:v>
                </c:pt>
                <c:pt idx="1">
                  <c:v>88.5</c:v>
                </c:pt>
                <c:pt idx="2">
                  <c:v>87</c:v>
                </c:pt>
                <c:pt idx="3">
                  <c:v>50</c:v>
                </c:pt>
                <c:pt idx="4">
                  <c:v>40</c:v>
                </c:pt>
                <c:pt idx="5">
                  <c:v>53</c:v>
                </c:pt>
              </c:numCache>
            </c:numRef>
          </c:val>
          <c:extLst>
            <c:ext xmlns:c16="http://schemas.microsoft.com/office/drawing/2014/chart" uri="{C3380CC4-5D6E-409C-BE32-E72D297353CC}">
              <c16:uniqueId val="{0000000C-7863-4C8A-A3ED-FBE7F864CE91}"/>
            </c:ext>
          </c:extLst>
        </c:ser>
        <c:ser>
          <c:idx val="1"/>
          <c:order val="1"/>
          <c:dPt>
            <c:idx val="0"/>
            <c:bubble3D val="0"/>
            <c:spPr>
              <a:solidFill>
                <a:srgbClr val="FF0000"/>
              </a:solidFill>
              <a:ln w="19050">
                <a:solidFill>
                  <a:schemeClr val="lt1"/>
                </a:solidFill>
              </a:ln>
              <a:effectLst/>
            </c:spPr>
            <c:extLst>
              <c:ext xmlns:c16="http://schemas.microsoft.com/office/drawing/2014/chart" uri="{C3380CC4-5D6E-409C-BE32-E72D297353CC}">
                <c16:uniqueId val="{0000000E-7863-4C8A-A3ED-FBE7F864CE91}"/>
              </c:ext>
            </c:extLst>
          </c:dPt>
          <c:dPt>
            <c:idx val="1"/>
            <c:bubble3D val="0"/>
            <c:spPr>
              <a:solidFill>
                <a:srgbClr val="FF4D4D"/>
              </a:solidFill>
              <a:ln w="19050">
                <a:solidFill>
                  <a:schemeClr val="lt1"/>
                </a:solidFill>
              </a:ln>
              <a:effectLst/>
            </c:spPr>
            <c:extLst>
              <c:ext xmlns:c16="http://schemas.microsoft.com/office/drawing/2014/chart" uri="{C3380CC4-5D6E-409C-BE32-E72D297353CC}">
                <c16:uniqueId val="{00000010-7863-4C8A-A3ED-FBE7F864CE91}"/>
              </c:ext>
            </c:extLst>
          </c:dPt>
          <c:dPt>
            <c:idx val="2"/>
            <c:bubble3D val="0"/>
            <c:spPr>
              <a:solidFill>
                <a:srgbClr val="FF8080"/>
              </a:solidFill>
              <a:ln w="19050">
                <a:solidFill>
                  <a:schemeClr val="lt1"/>
                </a:solidFill>
              </a:ln>
              <a:effectLst/>
            </c:spPr>
            <c:extLst>
              <c:ext xmlns:c16="http://schemas.microsoft.com/office/drawing/2014/chart" uri="{C3380CC4-5D6E-409C-BE32-E72D297353CC}">
                <c16:uniqueId val="{00000012-7863-4C8A-A3ED-FBE7F864CE91}"/>
              </c:ext>
            </c:extLst>
          </c:dPt>
          <c:dPt>
            <c:idx val="3"/>
            <c:bubble3D val="0"/>
            <c:spPr>
              <a:solidFill>
                <a:srgbClr val="FFBFBF"/>
              </a:solidFill>
              <a:ln w="19050">
                <a:solidFill>
                  <a:schemeClr val="lt1"/>
                </a:solidFill>
              </a:ln>
              <a:effectLst/>
            </c:spPr>
            <c:extLst>
              <c:ext xmlns:c16="http://schemas.microsoft.com/office/drawing/2014/chart" uri="{C3380CC4-5D6E-409C-BE32-E72D297353CC}">
                <c16:uniqueId val="{00000014-7863-4C8A-A3ED-FBE7F864CE91}"/>
              </c:ext>
            </c:extLst>
          </c:dPt>
          <c:dPt>
            <c:idx val="4"/>
            <c:bubble3D val="0"/>
            <c:spPr>
              <a:solidFill>
                <a:srgbClr val="FFE6E6"/>
              </a:solidFill>
              <a:ln w="19050">
                <a:solidFill>
                  <a:schemeClr val="lt1"/>
                </a:solidFill>
              </a:ln>
              <a:effectLst/>
            </c:spPr>
            <c:extLst>
              <c:ext xmlns:c16="http://schemas.microsoft.com/office/drawing/2014/chart" uri="{C3380CC4-5D6E-409C-BE32-E72D297353CC}">
                <c16:uniqueId val="{00000016-7863-4C8A-A3ED-FBE7F864CE91}"/>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8-7863-4C8A-A3ED-FBE7F864CE91}"/>
              </c:ext>
            </c:extLst>
          </c:dPt>
          <c:cat>
            <c:strRef>
              <c:f>Calculations!$K$39:$K$44</c:f>
              <c:strCache>
                <c:ptCount val="6"/>
                <c:pt idx="0">
                  <c:v>Health</c:v>
                </c:pt>
                <c:pt idx="1">
                  <c:v>Groceries</c:v>
                </c:pt>
                <c:pt idx="2">
                  <c:v>Car_Maintenance_Mazda</c:v>
                </c:pt>
                <c:pt idx="3">
                  <c:v>Shopping</c:v>
                </c:pt>
                <c:pt idx="4">
                  <c:v>Transportation</c:v>
                </c:pt>
                <c:pt idx="5">
                  <c:v>Other</c:v>
                </c:pt>
              </c:strCache>
            </c:strRef>
          </c:cat>
          <c:val>
            <c:numRef>
              <c:f>Calculations!$M$39:$M$44</c:f>
              <c:numCache>
                <c:formatCode>_(* #,##0_);_(* \(#,##0\);_(* "-"??_);_(@_)</c:formatCode>
                <c:ptCount val="6"/>
                <c:pt idx="0">
                  <c:v>540000</c:v>
                </c:pt>
                <c:pt idx="1">
                  <c:v>-70000</c:v>
                </c:pt>
                <c:pt idx="2">
                  <c:v>0</c:v>
                </c:pt>
                <c:pt idx="3">
                  <c:v>0</c:v>
                </c:pt>
                <c:pt idx="4">
                  <c:v>0</c:v>
                </c:pt>
                <c:pt idx="5">
                  <c:v>-160000</c:v>
                </c:pt>
              </c:numCache>
            </c:numRef>
          </c:val>
          <c:extLst>
            <c:ext xmlns:c16="http://schemas.microsoft.com/office/drawing/2014/chart" uri="{C3380CC4-5D6E-409C-BE32-E72D297353CC}">
              <c16:uniqueId val="{00000019-7863-4C8A-A3ED-FBE7F864CE91}"/>
            </c:ext>
          </c:extLst>
        </c:ser>
        <c:ser>
          <c:idx val="2"/>
          <c:order val="2"/>
          <c:dPt>
            <c:idx val="0"/>
            <c:bubble3D val="0"/>
            <c:spPr>
              <a:solidFill>
                <a:srgbClr val="FF0000"/>
              </a:solidFill>
              <a:ln w="19050">
                <a:solidFill>
                  <a:schemeClr val="lt1"/>
                </a:solidFill>
              </a:ln>
              <a:effectLst/>
            </c:spPr>
            <c:extLst>
              <c:ext xmlns:c16="http://schemas.microsoft.com/office/drawing/2014/chart" uri="{C3380CC4-5D6E-409C-BE32-E72D297353CC}">
                <c16:uniqueId val="{0000001B-7863-4C8A-A3ED-FBE7F864CE91}"/>
              </c:ext>
            </c:extLst>
          </c:dPt>
          <c:dPt>
            <c:idx val="1"/>
            <c:bubble3D val="0"/>
            <c:spPr>
              <a:solidFill>
                <a:srgbClr val="FF4D4D"/>
              </a:solidFill>
              <a:ln w="19050">
                <a:solidFill>
                  <a:schemeClr val="lt1"/>
                </a:solidFill>
              </a:ln>
              <a:effectLst/>
            </c:spPr>
            <c:extLst>
              <c:ext xmlns:c16="http://schemas.microsoft.com/office/drawing/2014/chart" uri="{C3380CC4-5D6E-409C-BE32-E72D297353CC}">
                <c16:uniqueId val="{0000001D-7863-4C8A-A3ED-FBE7F864CE91}"/>
              </c:ext>
            </c:extLst>
          </c:dPt>
          <c:dPt>
            <c:idx val="2"/>
            <c:bubble3D val="0"/>
            <c:spPr>
              <a:solidFill>
                <a:srgbClr val="FF8080"/>
              </a:solidFill>
              <a:ln w="19050">
                <a:solidFill>
                  <a:schemeClr val="lt1"/>
                </a:solidFill>
              </a:ln>
              <a:effectLst/>
            </c:spPr>
            <c:extLst>
              <c:ext xmlns:c16="http://schemas.microsoft.com/office/drawing/2014/chart" uri="{C3380CC4-5D6E-409C-BE32-E72D297353CC}">
                <c16:uniqueId val="{0000001F-7863-4C8A-A3ED-FBE7F864CE91}"/>
              </c:ext>
            </c:extLst>
          </c:dPt>
          <c:dPt>
            <c:idx val="3"/>
            <c:bubble3D val="0"/>
            <c:spPr>
              <a:solidFill>
                <a:srgbClr val="FFBFBF"/>
              </a:solidFill>
              <a:ln w="19050">
                <a:solidFill>
                  <a:schemeClr val="lt1"/>
                </a:solidFill>
              </a:ln>
              <a:effectLst/>
            </c:spPr>
            <c:extLst>
              <c:ext xmlns:c16="http://schemas.microsoft.com/office/drawing/2014/chart" uri="{C3380CC4-5D6E-409C-BE32-E72D297353CC}">
                <c16:uniqueId val="{00000021-7863-4C8A-A3ED-FBE7F864CE91}"/>
              </c:ext>
            </c:extLst>
          </c:dPt>
          <c:dPt>
            <c:idx val="4"/>
            <c:bubble3D val="0"/>
            <c:spPr>
              <a:solidFill>
                <a:srgbClr val="FFE6E6"/>
              </a:solidFill>
              <a:ln w="19050">
                <a:solidFill>
                  <a:schemeClr val="lt1"/>
                </a:solidFill>
              </a:ln>
              <a:effectLst/>
            </c:spPr>
            <c:extLst>
              <c:ext xmlns:c16="http://schemas.microsoft.com/office/drawing/2014/chart" uri="{C3380CC4-5D6E-409C-BE32-E72D297353CC}">
                <c16:uniqueId val="{00000023-7863-4C8A-A3ED-FBE7F864CE91}"/>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25-7863-4C8A-A3ED-FBE7F864CE91}"/>
              </c:ext>
            </c:extLst>
          </c:dPt>
          <c:cat>
            <c:strRef>
              <c:f>Calculations!$K$39:$K$44</c:f>
              <c:strCache>
                <c:ptCount val="6"/>
                <c:pt idx="0">
                  <c:v>Health</c:v>
                </c:pt>
                <c:pt idx="1">
                  <c:v>Groceries</c:v>
                </c:pt>
                <c:pt idx="2">
                  <c:v>Car_Maintenance_Mazda</c:v>
                </c:pt>
                <c:pt idx="3">
                  <c:v>Shopping</c:v>
                </c:pt>
                <c:pt idx="4">
                  <c:v>Transportation</c:v>
                </c:pt>
                <c:pt idx="5">
                  <c:v>Other</c:v>
                </c:pt>
              </c:strCache>
            </c:strRef>
          </c:cat>
          <c:val>
            <c:numRef>
              <c:f>Calculations!$N$39:$N$44</c:f>
              <c:numCache>
                <c:formatCode>_(* #,##0_);_(* \(#,##0\);_(*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26-7863-4C8A-A3ED-FBE7F864CE91}"/>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375902138989603E-2"/>
          <c:y val="6.3917635295588041E-2"/>
          <c:w val="0.82524819572202079"/>
          <c:h val="0.82454630671166107"/>
        </c:manualLayout>
      </c:layout>
      <c:doughnutChart>
        <c:varyColors val="1"/>
        <c:ser>
          <c:idx val="0"/>
          <c:order val="0"/>
          <c:spPr>
            <a:solidFill>
              <a:srgbClr val="00B050"/>
            </a:solidFill>
          </c:spPr>
          <c:dPt>
            <c:idx val="0"/>
            <c:bubble3D val="0"/>
            <c:spPr>
              <a:solidFill>
                <a:srgbClr val="0000FF"/>
              </a:solidFill>
              <a:ln w="19050">
                <a:solidFill>
                  <a:schemeClr val="lt1"/>
                </a:solidFill>
              </a:ln>
              <a:effectLst/>
            </c:spPr>
            <c:extLst>
              <c:ext xmlns:c16="http://schemas.microsoft.com/office/drawing/2014/chart" uri="{C3380CC4-5D6E-409C-BE32-E72D297353CC}">
                <c16:uniqueId val="{00000001-641F-4D98-B205-67458EA78FDC}"/>
              </c:ext>
            </c:extLst>
          </c:dPt>
          <c:dPt>
            <c:idx val="1"/>
            <c:bubble3D val="0"/>
            <c:spPr>
              <a:solidFill>
                <a:srgbClr val="4D4DFF"/>
              </a:solidFill>
              <a:ln w="19050">
                <a:solidFill>
                  <a:schemeClr val="lt1"/>
                </a:solidFill>
              </a:ln>
              <a:effectLst/>
            </c:spPr>
            <c:extLst>
              <c:ext xmlns:c16="http://schemas.microsoft.com/office/drawing/2014/chart" uri="{C3380CC4-5D6E-409C-BE32-E72D297353CC}">
                <c16:uniqueId val="{00000003-641F-4D98-B205-67458EA78FDC}"/>
              </c:ext>
            </c:extLst>
          </c:dPt>
          <c:dPt>
            <c:idx val="2"/>
            <c:bubble3D val="0"/>
            <c:spPr>
              <a:solidFill>
                <a:srgbClr val="8282FF"/>
              </a:solidFill>
              <a:ln w="19050">
                <a:solidFill>
                  <a:schemeClr val="lt1"/>
                </a:solidFill>
              </a:ln>
              <a:effectLst/>
            </c:spPr>
            <c:extLst>
              <c:ext xmlns:c16="http://schemas.microsoft.com/office/drawing/2014/chart" uri="{C3380CC4-5D6E-409C-BE32-E72D297353CC}">
                <c16:uniqueId val="{00000005-641F-4D98-B205-67458EA78FDC}"/>
              </c:ext>
            </c:extLst>
          </c:dPt>
          <c:dPt>
            <c:idx val="3"/>
            <c:bubble3D val="0"/>
            <c:spPr>
              <a:solidFill>
                <a:srgbClr val="BFBFFF"/>
              </a:solidFill>
              <a:ln w="19050">
                <a:solidFill>
                  <a:schemeClr val="lt1"/>
                </a:solidFill>
              </a:ln>
              <a:effectLst/>
            </c:spPr>
            <c:extLst>
              <c:ext xmlns:c16="http://schemas.microsoft.com/office/drawing/2014/chart" uri="{C3380CC4-5D6E-409C-BE32-E72D297353CC}">
                <c16:uniqueId val="{00000007-641F-4D98-B205-67458EA78FDC}"/>
              </c:ext>
            </c:extLst>
          </c:dPt>
          <c:dPt>
            <c:idx val="4"/>
            <c:bubble3D val="0"/>
            <c:spPr>
              <a:solidFill>
                <a:srgbClr val="E6E6FF"/>
              </a:solidFill>
              <a:ln w="19050">
                <a:solidFill>
                  <a:schemeClr val="lt1"/>
                </a:solidFill>
              </a:ln>
              <a:effectLst/>
            </c:spPr>
            <c:extLst>
              <c:ext xmlns:c16="http://schemas.microsoft.com/office/drawing/2014/chart" uri="{C3380CC4-5D6E-409C-BE32-E72D297353CC}">
                <c16:uniqueId val="{00000009-641F-4D98-B205-67458EA78FDC}"/>
              </c:ext>
            </c:extLst>
          </c:dPt>
          <c:dPt>
            <c:idx val="5"/>
            <c:bubble3D val="0"/>
            <c:spPr>
              <a:solidFill>
                <a:schemeClr val="bg1">
                  <a:lumMod val="85000"/>
                  <a:alpha val="20000"/>
                </a:schemeClr>
              </a:solidFill>
              <a:ln w="19050">
                <a:solidFill>
                  <a:schemeClr val="lt1"/>
                </a:solidFill>
              </a:ln>
              <a:effectLst/>
            </c:spPr>
            <c:extLst>
              <c:ext xmlns:c16="http://schemas.microsoft.com/office/drawing/2014/chart" uri="{C3380CC4-5D6E-409C-BE32-E72D297353CC}">
                <c16:uniqueId val="{0000000B-641F-4D98-B205-67458EA78FDC}"/>
              </c:ext>
            </c:extLst>
          </c:dPt>
          <c:cat>
            <c:multiLvlStrRef>
              <c:f>Calculations!$Q$39:$Q$44</c:f>
            </c:multiLvlStrRef>
          </c:cat>
          <c:val>
            <c:numRef>
              <c:f>Calculations!$R$39:$R$44</c:f>
              <c:numCache>
                <c:formatCode>_(* #,##0_);_(* \(#,##0\);_(*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641F-4D98-B205-67458EA78FDC}"/>
            </c:ext>
          </c:extLst>
        </c:ser>
        <c:ser>
          <c:idx val="1"/>
          <c:order val="1"/>
          <c:dPt>
            <c:idx val="0"/>
            <c:bubble3D val="0"/>
            <c:spPr>
              <a:solidFill>
                <a:srgbClr val="0000FF"/>
              </a:solidFill>
              <a:ln w="19050">
                <a:solidFill>
                  <a:schemeClr val="lt1"/>
                </a:solidFill>
              </a:ln>
              <a:effectLst/>
            </c:spPr>
            <c:extLst>
              <c:ext xmlns:c16="http://schemas.microsoft.com/office/drawing/2014/chart" uri="{C3380CC4-5D6E-409C-BE32-E72D297353CC}">
                <c16:uniqueId val="{0000000E-641F-4D98-B205-67458EA78FDC}"/>
              </c:ext>
            </c:extLst>
          </c:dPt>
          <c:dPt>
            <c:idx val="1"/>
            <c:bubble3D val="0"/>
            <c:spPr>
              <a:solidFill>
                <a:srgbClr val="4D4DFF"/>
              </a:solidFill>
              <a:ln w="19050">
                <a:solidFill>
                  <a:schemeClr val="lt1"/>
                </a:solidFill>
              </a:ln>
              <a:effectLst/>
            </c:spPr>
            <c:extLst>
              <c:ext xmlns:c16="http://schemas.microsoft.com/office/drawing/2014/chart" uri="{C3380CC4-5D6E-409C-BE32-E72D297353CC}">
                <c16:uniqueId val="{00000010-641F-4D98-B205-67458EA78FDC}"/>
              </c:ext>
            </c:extLst>
          </c:dPt>
          <c:dPt>
            <c:idx val="2"/>
            <c:bubble3D val="0"/>
            <c:spPr>
              <a:solidFill>
                <a:srgbClr val="8282FF"/>
              </a:solidFill>
              <a:ln w="19050">
                <a:solidFill>
                  <a:schemeClr val="lt1"/>
                </a:solidFill>
              </a:ln>
              <a:effectLst/>
            </c:spPr>
            <c:extLst>
              <c:ext xmlns:c16="http://schemas.microsoft.com/office/drawing/2014/chart" uri="{C3380CC4-5D6E-409C-BE32-E72D297353CC}">
                <c16:uniqueId val="{00000012-641F-4D98-B205-67458EA78FDC}"/>
              </c:ext>
            </c:extLst>
          </c:dPt>
          <c:dPt>
            <c:idx val="3"/>
            <c:bubble3D val="0"/>
            <c:spPr>
              <a:solidFill>
                <a:srgbClr val="BFBFFF"/>
              </a:solidFill>
              <a:ln w="19050">
                <a:solidFill>
                  <a:schemeClr val="lt1"/>
                </a:solidFill>
              </a:ln>
              <a:effectLst/>
            </c:spPr>
            <c:extLst>
              <c:ext xmlns:c16="http://schemas.microsoft.com/office/drawing/2014/chart" uri="{C3380CC4-5D6E-409C-BE32-E72D297353CC}">
                <c16:uniqueId val="{00000014-641F-4D98-B205-67458EA78FDC}"/>
              </c:ext>
            </c:extLst>
          </c:dPt>
          <c:dPt>
            <c:idx val="4"/>
            <c:bubble3D val="0"/>
            <c:spPr>
              <a:solidFill>
                <a:srgbClr val="E6E6FF"/>
              </a:solidFill>
              <a:ln w="19050">
                <a:solidFill>
                  <a:schemeClr val="lt1"/>
                </a:solidFill>
              </a:ln>
              <a:effectLst/>
            </c:spPr>
            <c:extLst>
              <c:ext xmlns:c16="http://schemas.microsoft.com/office/drawing/2014/chart" uri="{C3380CC4-5D6E-409C-BE32-E72D297353CC}">
                <c16:uniqueId val="{00000016-641F-4D98-B205-67458EA78FDC}"/>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18-641F-4D98-B205-67458EA78FDC}"/>
              </c:ext>
            </c:extLst>
          </c:dPt>
          <c:cat>
            <c:multiLvlStrRef>
              <c:f>Calculations!$Q$39:$Q$44</c:f>
            </c:multiLvlStrRef>
          </c:cat>
          <c:val>
            <c:numRef>
              <c:f>Calculations!$S$39:$S$44</c:f>
              <c:numCache>
                <c:formatCode>_(* #,##0_);_(* \(#,##0\);_(*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19-641F-4D98-B205-67458EA78FDC}"/>
            </c:ext>
          </c:extLst>
        </c:ser>
        <c:ser>
          <c:idx val="2"/>
          <c:order val="2"/>
          <c:dPt>
            <c:idx val="0"/>
            <c:bubble3D val="0"/>
            <c:spPr>
              <a:solidFill>
                <a:srgbClr val="0000FF"/>
              </a:solidFill>
              <a:ln w="19050">
                <a:solidFill>
                  <a:schemeClr val="lt1"/>
                </a:solidFill>
              </a:ln>
              <a:effectLst/>
            </c:spPr>
            <c:extLst>
              <c:ext xmlns:c16="http://schemas.microsoft.com/office/drawing/2014/chart" uri="{C3380CC4-5D6E-409C-BE32-E72D297353CC}">
                <c16:uniqueId val="{0000001B-641F-4D98-B205-67458EA78FDC}"/>
              </c:ext>
            </c:extLst>
          </c:dPt>
          <c:dPt>
            <c:idx val="1"/>
            <c:bubble3D val="0"/>
            <c:spPr>
              <a:solidFill>
                <a:srgbClr val="4D4DFF"/>
              </a:solidFill>
              <a:ln w="19050">
                <a:solidFill>
                  <a:schemeClr val="lt1"/>
                </a:solidFill>
              </a:ln>
              <a:effectLst/>
            </c:spPr>
            <c:extLst>
              <c:ext xmlns:c16="http://schemas.microsoft.com/office/drawing/2014/chart" uri="{C3380CC4-5D6E-409C-BE32-E72D297353CC}">
                <c16:uniqueId val="{0000001D-641F-4D98-B205-67458EA78FDC}"/>
              </c:ext>
            </c:extLst>
          </c:dPt>
          <c:dPt>
            <c:idx val="2"/>
            <c:bubble3D val="0"/>
            <c:spPr>
              <a:solidFill>
                <a:srgbClr val="8282FF"/>
              </a:solidFill>
              <a:ln w="19050">
                <a:solidFill>
                  <a:schemeClr val="lt1"/>
                </a:solidFill>
              </a:ln>
              <a:effectLst/>
            </c:spPr>
            <c:extLst>
              <c:ext xmlns:c16="http://schemas.microsoft.com/office/drawing/2014/chart" uri="{C3380CC4-5D6E-409C-BE32-E72D297353CC}">
                <c16:uniqueId val="{0000001F-641F-4D98-B205-67458EA78FDC}"/>
              </c:ext>
            </c:extLst>
          </c:dPt>
          <c:dPt>
            <c:idx val="3"/>
            <c:bubble3D val="0"/>
            <c:spPr>
              <a:solidFill>
                <a:srgbClr val="BFBFFF"/>
              </a:solidFill>
              <a:ln w="19050">
                <a:solidFill>
                  <a:schemeClr val="lt1"/>
                </a:solidFill>
              </a:ln>
              <a:effectLst/>
            </c:spPr>
            <c:extLst>
              <c:ext xmlns:c16="http://schemas.microsoft.com/office/drawing/2014/chart" uri="{C3380CC4-5D6E-409C-BE32-E72D297353CC}">
                <c16:uniqueId val="{00000021-641F-4D98-B205-67458EA78FDC}"/>
              </c:ext>
            </c:extLst>
          </c:dPt>
          <c:dPt>
            <c:idx val="4"/>
            <c:bubble3D val="0"/>
            <c:spPr>
              <a:solidFill>
                <a:srgbClr val="E6E6FF"/>
              </a:solidFill>
              <a:ln w="19050">
                <a:solidFill>
                  <a:schemeClr val="lt1"/>
                </a:solidFill>
              </a:ln>
              <a:effectLst/>
            </c:spPr>
            <c:extLst>
              <c:ext xmlns:c16="http://schemas.microsoft.com/office/drawing/2014/chart" uri="{C3380CC4-5D6E-409C-BE32-E72D297353CC}">
                <c16:uniqueId val="{00000023-641F-4D98-B205-67458EA78FDC}"/>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25-641F-4D98-B205-67458EA78FDC}"/>
              </c:ext>
            </c:extLst>
          </c:dPt>
          <c:cat>
            <c:multiLvlStrRef>
              <c:f>Calculations!$Q$39:$Q$44</c:f>
            </c:multiLvlStrRef>
          </c:cat>
          <c:val>
            <c:numRef>
              <c:f>Calculations!$T$39:$T$44</c:f>
              <c:numCache>
                <c:formatCode>_(* #,##0_);_(* \(#,##0\);_(*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26-641F-4D98-B205-67458EA78FDC}"/>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rgbClr val="4DC884"/>
            </a:solidFill>
            <a:ln>
              <a:noFill/>
            </a:ln>
            <a:effectLst/>
          </c:spPr>
          <c:invertIfNegative val="0"/>
          <c:dPt>
            <c:idx val="1"/>
            <c:invertIfNegative val="0"/>
            <c:bubble3D val="0"/>
            <c:spPr>
              <a:solidFill>
                <a:srgbClr val="FF4D4D"/>
              </a:solidFill>
              <a:ln>
                <a:noFill/>
              </a:ln>
              <a:effectLst/>
            </c:spPr>
            <c:extLst>
              <c:ext xmlns:c16="http://schemas.microsoft.com/office/drawing/2014/chart" uri="{C3380CC4-5D6E-409C-BE32-E72D297353CC}">
                <c16:uniqueId val="{00000001-53BF-419C-A54C-74CB87EFE29A}"/>
              </c:ext>
            </c:extLst>
          </c:dPt>
          <c:dPt>
            <c:idx val="2"/>
            <c:invertIfNegative val="0"/>
            <c:bubble3D val="0"/>
            <c:spPr>
              <a:solidFill>
                <a:srgbClr val="4D4DFF"/>
              </a:solidFill>
              <a:ln>
                <a:noFill/>
              </a:ln>
              <a:effectLst/>
            </c:spPr>
            <c:extLst>
              <c:ext xmlns:c16="http://schemas.microsoft.com/office/drawing/2014/chart" uri="{C3380CC4-5D6E-409C-BE32-E72D297353CC}">
                <c16:uniqueId val="{00000003-53BF-419C-A54C-74CB87EFE29A}"/>
              </c:ext>
            </c:extLst>
          </c:dPt>
          <c:dPt>
            <c:idx val="5"/>
            <c:invertIfNegative val="0"/>
            <c:bubble3D val="0"/>
            <c:spPr>
              <a:solidFill>
                <a:srgbClr val="FF4D4D"/>
              </a:solidFill>
              <a:ln>
                <a:noFill/>
              </a:ln>
              <a:effectLst/>
            </c:spPr>
            <c:extLst>
              <c:ext xmlns:c16="http://schemas.microsoft.com/office/drawing/2014/chart" uri="{C3380CC4-5D6E-409C-BE32-E72D297353CC}">
                <c16:uniqueId val="{00000005-53BF-419C-A54C-74CB87EFE29A}"/>
              </c:ext>
            </c:extLst>
          </c:dPt>
          <c:dPt>
            <c:idx val="6"/>
            <c:invertIfNegative val="0"/>
            <c:bubble3D val="0"/>
            <c:spPr>
              <a:solidFill>
                <a:srgbClr val="4D4DFF"/>
              </a:solidFill>
              <a:ln>
                <a:noFill/>
              </a:ln>
              <a:effectLst/>
            </c:spPr>
            <c:extLst>
              <c:ext xmlns:c16="http://schemas.microsoft.com/office/drawing/2014/chart" uri="{C3380CC4-5D6E-409C-BE32-E72D297353CC}">
                <c16:uniqueId val="{00000007-53BF-419C-A54C-74CB87EFE29A}"/>
              </c:ext>
            </c:extLst>
          </c:dPt>
          <c:dPt>
            <c:idx val="9"/>
            <c:invertIfNegative val="0"/>
            <c:bubble3D val="0"/>
            <c:spPr>
              <a:solidFill>
                <a:srgbClr val="FF4D4D"/>
              </a:solidFill>
              <a:ln>
                <a:noFill/>
              </a:ln>
              <a:effectLst/>
            </c:spPr>
            <c:extLst>
              <c:ext xmlns:c16="http://schemas.microsoft.com/office/drawing/2014/chart" uri="{C3380CC4-5D6E-409C-BE32-E72D297353CC}">
                <c16:uniqueId val="{00000009-53BF-419C-A54C-74CB87EFE29A}"/>
              </c:ext>
            </c:extLst>
          </c:dPt>
          <c:dPt>
            <c:idx val="10"/>
            <c:invertIfNegative val="0"/>
            <c:bubble3D val="0"/>
            <c:spPr>
              <a:solidFill>
                <a:srgbClr val="4D4DFF"/>
              </a:solidFill>
              <a:ln>
                <a:noFill/>
              </a:ln>
              <a:effectLst/>
            </c:spPr>
            <c:extLst>
              <c:ext xmlns:c16="http://schemas.microsoft.com/office/drawing/2014/chart" uri="{C3380CC4-5D6E-409C-BE32-E72D297353CC}">
                <c16:uniqueId val="{0000000B-53BF-419C-A54C-74CB87EFE29A}"/>
              </c:ext>
            </c:extLst>
          </c:dPt>
          <c:dPt>
            <c:idx val="13"/>
            <c:invertIfNegative val="0"/>
            <c:bubble3D val="0"/>
            <c:spPr>
              <a:solidFill>
                <a:srgbClr val="FF4D4D"/>
              </a:solidFill>
              <a:ln>
                <a:noFill/>
              </a:ln>
              <a:effectLst/>
            </c:spPr>
            <c:extLst>
              <c:ext xmlns:c16="http://schemas.microsoft.com/office/drawing/2014/chart" uri="{C3380CC4-5D6E-409C-BE32-E72D297353CC}">
                <c16:uniqueId val="{0000000D-53BF-419C-A54C-74CB87EFE29A}"/>
              </c:ext>
            </c:extLst>
          </c:dPt>
          <c:dPt>
            <c:idx val="14"/>
            <c:invertIfNegative val="0"/>
            <c:bubble3D val="0"/>
            <c:spPr>
              <a:solidFill>
                <a:srgbClr val="4D4DFF"/>
              </a:solidFill>
              <a:ln>
                <a:noFill/>
              </a:ln>
              <a:effectLst/>
            </c:spPr>
            <c:extLst>
              <c:ext xmlns:c16="http://schemas.microsoft.com/office/drawing/2014/chart" uri="{C3380CC4-5D6E-409C-BE32-E72D297353CC}">
                <c16:uniqueId val="{0000000F-53BF-419C-A54C-74CB87EFE29A}"/>
              </c:ext>
            </c:extLst>
          </c:dPt>
          <c:dPt>
            <c:idx val="17"/>
            <c:invertIfNegative val="0"/>
            <c:bubble3D val="0"/>
            <c:spPr>
              <a:solidFill>
                <a:srgbClr val="FF4D4D"/>
              </a:solidFill>
              <a:ln>
                <a:noFill/>
              </a:ln>
              <a:effectLst/>
            </c:spPr>
            <c:extLst>
              <c:ext xmlns:c16="http://schemas.microsoft.com/office/drawing/2014/chart" uri="{C3380CC4-5D6E-409C-BE32-E72D297353CC}">
                <c16:uniqueId val="{00000011-53BF-419C-A54C-74CB87EFE29A}"/>
              </c:ext>
            </c:extLst>
          </c:dPt>
          <c:dPt>
            <c:idx val="18"/>
            <c:invertIfNegative val="0"/>
            <c:bubble3D val="0"/>
            <c:spPr>
              <a:solidFill>
                <a:srgbClr val="4D4DFF"/>
              </a:solidFill>
              <a:ln>
                <a:noFill/>
              </a:ln>
              <a:effectLst/>
            </c:spPr>
            <c:extLst>
              <c:ext xmlns:c16="http://schemas.microsoft.com/office/drawing/2014/chart" uri="{C3380CC4-5D6E-409C-BE32-E72D297353CC}">
                <c16:uniqueId val="{00000013-53BF-419C-A54C-74CB87EFE29A}"/>
              </c:ext>
            </c:extLst>
          </c:dPt>
          <c:dPt>
            <c:idx val="21"/>
            <c:invertIfNegative val="0"/>
            <c:bubble3D val="0"/>
            <c:spPr>
              <a:solidFill>
                <a:srgbClr val="FF4D4D"/>
              </a:solidFill>
              <a:ln>
                <a:noFill/>
              </a:ln>
              <a:effectLst/>
            </c:spPr>
            <c:extLst>
              <c:ext xmlns:c16="http://schemas.microsoft.com/office/drawing/2014/chart" uri="{C3380CC4-5D6E-409C-BE32-E72D297353CC}">
                <c16:uniqueId val="{00000015-53BF-419C-A54C-74CB87EFE29A}"/>
              </c:ext>
            </c:extLst>
          </c:dPt>
          <c:dPt>
            <c:idx val="22"/>
            <c:invertIfNegative val="0"/>
            <c:bubble3D val="0"/>
            <c:spPr>
              <a:solidFill>
                <a:srgbClr val="4D4DFF"/>
              </a:solidFill>
              <a:ln>
                <a:noFill/>
              </a:ln>
              <a:effectLst/>
            </c:spPr>
            <c:extLst>
              <c:ext xmlns:c16="http://schemas.microsoft.com/office/drawing/2014/chart" uri="{C3380CC4-5D6E-409C-BE32-E72D297353CC}">
                <c16:uniqueId val="{00000017-53BF-419C-A54C-74CB87EFE29A}"/>
              </c:ext>
            </c:extLst>
          </c:dPt>
          <c:dPt>
            <c:idx val="25"/>
            <c:invertIfNegative val="0"/>
            <c:bubble3D val="0"/>
            <c:spPr>
              <a:solidFill>
                <a:srgbClr val="FF4D4D"/>
              </a:solidFill>
              <a:ln>
                <a:noFill/>
              </a:ln>
              <a:effectLst/>
            </c:spPr>
            <c:extLst>
              <c:ext xmlns:c16="http://schemas.microsoft.com/office/drawing/2014/chart" uri="{C3380CC4-5D6E-409C-BE32-E72D297353CC}">
                <c16:uniqueId val="{00000019-53BF-419C-A54C-74CB87EFE29A}"/>
              </c:ext>
            </c:extLst>
          </c:dPt>
          <c:dPt>
            <c:idx val="26"/>
            <c:invertIfNegative val="0"/>
            <c:bubble3D val="0"/>
            <c:spPr>
              <a:solidFill>
                <a:srgbClr val="4D4DFF"/>
              </a:solidFill>
              <a:ln>
                <a:noFill/>
              </a:ln>
              <a:effectLst/>
            </c:spPr>
            <c:extLst>
              <c:ext xmlns:c16="http://schemas.microsoft.com/office/drawing/2014/chart" uri="{C3380CC4-5D6E-409C-BE32-E72D297353CC}">
                <c16:uniqueId val="{0000001B-53BF-419C-A54C-74CB87EFE29A}"/>
              </c:ext>
            </c:extLst>
          </c:dPt>
          <c:dPt>
            <c:idx val="29"/>
            <c:invertIfNegative val="0"/>
            <c:bubble3D val="0"/>
            <c:spPr>
              <a:solidFill>
                <a:srgbClr val="FF4D4D"/>
              </a:solidFill>
              <a:ln>
                <a:noFill/>
              </a:ln>
              <a:effectLst/>
            </c:spPr>
            <c:extLst>
              <c:ext xmlns:c16="http://schemas.microsoft.com/office/drawing/2014/chart" uri="{C3380CC4-5D6E-409C-BE32-E72D297353CC}">
                <c16:uniqueId val="{0000001D-53BF-419C-A54C-74CB87EFE29A}"/>
              </c:ext>
            </c:extLst>
          </c:dPt>
          <c:dPt>
            <c:idx val="30"/>
            <c:invertIfNegative val="0"/>
            <c:bubble3D val="0"/>
            <c:spPr>
              <a:solidFill>
                <a:srgbClr val="4D4DFF"/>
              </a:solidFill>
              <a:ln>
                <a:noFill/>
              </a:ln>
              <a:effectLst/>
            </c:spPr>
            <c:extLst>
              <c:ext xmlns:c16="http://schemas.microsoft.com/office/drawing/2014/chart" uri="{C3380CC4-5D6E-409C-BE32-E72D297353CC}">
                <c16:uniqueId val="{0000001F-53BF-419C-A54C-74CB87EFE29A}"/>
              </c:ext>
            </c:extLst>
          </c:dPt>
          <c:dPt>
            <c:idx val="33"/>
            <c:invertIfNegative val="0"/>
            <c:bubble3D val="0"/>
            <c:spPr>
              <a:solidFill>
                <a:srgbClr val="FF4D4D"/>
              </a:solidFill>
              <a:ln>
                <a:noFill/>
              </a:ln>
              <a:effectLst/>
            </c:spPr>
            <c:extLst>
              <c:ext xmlns:c16="http://schemas.microsoft.com/office/drawing/2014/chart" uri="{C3380CC4-5D6E-409C-BE32-E72D297353CC}">
                <c16:uniqueId val="{00000021-53BF-419C-A54C-74CB87EFE29A}"/>
              </c:ext>
            </c:extLst>
          </c:dPt>
          <c:dPt>
            <c:idx val="34"/>
            <c:invertIfNegative val="0"/>
            <c:bubble3D val="0"/>
            <c:spPr>
              <a:solidFill>
                <a:srgbClr val="4D4DFF"/>
              </a:solidFill>
              <a:ln>
                <a:noFill/>
              </a:ln>
              <a:effectLst/>
            </c:spPr>
            <c:extLst>
              <c:ext xmlns:c16="http://schemas.microsoft.com/office/drawing/2014/chart" uri="{C3380CC4-5D6E-409C-BE32-E72D297353CC}">
                <c16:uniqueId val="{00000023-53BF-419C-A54C-74CB87EFE29A}"/>
              </c:ext>
            </c:extLst>
          </c:dPt>
          <c:dPt>
            <c:idx val="37"/>
            <c:invertIfNegative val="0"/>
            <c:bubble3D val="0"/>
            <c:spPr>
              <a:solidFill>
                <a:srgbClr val="FF4D4D"/>
              </a:solidFill>
              <a:ln>
                <a:noFill/>
              </a:ln>
              <a:effectLst/>
            </c:spPr>
            <c:extLst>
              <c:ext xmlns:c16="http://schemas.microsoft.com/office/drawing/2014/chart" uri="{C3380CC4-5D6E-409C-BE32-E72D297353CC}">
                <c16:uniqueId val="{00000025-53BF-419C-A54C-74CB87EFE29A}"/>
              </c:ext>
            </c:extLst>
          </c:dPt>
          <c:dPt>
            <c:idx val="38"/>
            <c:invertIfNegative val="0"/>
            <c:bubble3D val="0"/>
            <c:spPr>
              <a:solidFill>
                <a:srgbClr val="4D4DFF"/>
              </a:solidFill>
              <a:ln>
                <a:noFill/>
              </a:ln>
              <a:effectLst/>
            </c:spPr>
            <c:extLst>
              <c:ext xmlns:c16="http://schemas.microsoft.com/office/drawing/2014/chart" uri="{C3380CC4-5D6E-409C-BE32-E72D297353CC}">
                <c16:uniqueId val="{00000027-53BF-419C-A54C-74CB87EFE29A}"/>
              </c:ext>
            </c:extLst>
          </c:dPt>
          <c:dPt>
            <c:idx val="41"/>
            <c:invertIfNegative val="0"/>
            <c:bubble3D val="0"/>
            <c:spPr>
              <a:solidFill>
                <a:srgbClr val="FF4D4D"/>
              </a:solidFill>
              <a:ln>
                <a:noFill/>
              </a:ln>
              <a:effectLst/>
            </c:spPr>
            <c:extLst>
              <c:ext xmlns:c16="http://schemas.microsoft.com/office/drawing/2014/chart" uri="{C3380CC4-5D6E-409C-BE32-E72D297353CC}">
                <c16:uniqueId val="{00000029-53BF-419C-A54C-74CB87EFE29A}"/>
              </c:ext>
            </c:extLst>
          </c:dPt>
          <c:dPt>
            <c:idx val="42"/>
            <c:invertIfNegative val="0"/>
            <c:bubble3D val="0"/>
            <c:spPr>
              <a:solidFill>
                <a:srgbClr val="4D4DFF"/>
              </a:solidFill>
              <a:ln>
                <a:noFill/>
              </a:ln>
              <a:effectLst/>
            </c:spPr>
            <c:extLst>
              <c:ext xmlns:c16="http://schemas.microsoft.com/office/drawing/2014/chart" uri="{C3380CC4-5D6E-409C-BE32-E72D297353CC}">
                <c16:uniqueId val="{0000002B-53BF-419C-A54C-74CB87EFE29A}"/>
              </c:ext>
            </c:extLst>
          </c:dPt>
          <c:dPt>
            <c:idx val="45"/>
            <c:invertIfNegative val="0"/>
            <c:bubble3D val="0"/>
            <c:spPr>
              <a:solidFill>
                <a:srgbClr val="FF4D4D"/>
              </a:solidFill>
              <a:ln>
                <a:noFill/>
              </a:ln>
              <a:effectLst/>
            </c:spPr>
            <c:extLst>
              <c:ext xmlns:c16="http://schemas.microsoft.com/office/drawing/2014/chart" uri="{C3380CC4-5D6E-409C-BE32-E72D297353CC}">
                <c16:uniqueId val="{0000002D-53BF-419C-A54C-74CB87EFE29A}"/>
              </c:ext>
            </c:extLst>
          </c:dPt>
          <c:dPt>
            <c:idx val="46"/>
            <c:invertIfNegative val="0"/>
            <c:bubble3D val="0"/>
            <c:spPr>
              <a:solidFill>
                <a:srgbClr val="4D4DFF"/>
              </a:solidFill>
              <a:ln>
                <a:noFill/>
              </a:ln>
              <a:effectLst/>
            </c:spPr>
            <c:extLst>
              <c:ext xmlns:c16="http://schemas.microsoft.com/office/drawing/2014/chart" uri="{C3380CC4-5D6E-409C-BE32-E72D297353CC}">
                <c16:uniqueId val="{0000002F-53BF-419C-A54C-74CB87EFE29A}"/>
              </c:ext>
            </c:extLst>
          </c:dPt>
          <c:cat>
            <c:numRef>
              <c:f>Calculations!$D$59:$D$106</c:f>
              <c:numCache>
                <c:formatCode>mmm</c:formatCode>
                <c:ptCount val="48"/>
                <c:pt idx="0">
                  <c:v>46023</c:v>
                </c:pt>
                <c:pt idx="4">
                  <c:v>46054</c:v>
                </c:pt>
                <c:pt idx="8">
                  <c:v>46082</c:v>
                </c:pt>
                <c:pt idx="12">
                  <c:v>46113</c:v>
                </c:pt>
                <c:pt idx="16">
                  <c:v>46143</c:v>
                </c:pt>
                <c:pt idx="20">
                  <c:v>46174</c:v>
                </c:pt>
                <c:pt idx="24">
                  <c:v>46204</c:v>
                </c:pt>
                <c:pt idx="28">
                  <c:v>46235</c:v>
                </c:pt>
                <c:pt idx="32">
                  <c:v>46266</c:v>
                </c:pt>
                <c:pt idx="36">
                  <c:v>46296</c:v>
                </c:pt>
                <c:pt idx="40">
                  <c:v>46327</c:v>
                </c:pt>
                <c:pt idx="44">
                  <c:v>46357</c:v>
                </c:pt>
              </c:numCache>
            </c:numRef>
          </c:cat>
          <c:val>
            <c:numRef>
              <c:f>Calculations!$M$59:$M$106</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30-53BF-419C-A54C-74CB87EFE29A}"/>
            </c:ext>
          </c:extLst>
        </c:ser>
        <c:ser>
          <c:idx val="1"/>
          <c:order val="1"/>
          <c:spPr>
            <a:solidFill>
              <a:srgbClr val="BFEBD3"/>
            </a:solidFill>
            <a:ln>
              <a:noFill/>
            </a:ln>
            <a:effectLst/>
          </c:spPr>
          <c:invertIfNegative val="0"/>
          <c:dPt>
            <c:idx val="1"/>
            <c:invertIfNegative val="0"/>
            <c:bubble3D val="0"/>
            <c:spPr>
              <a:solidFill>
                <a:srgbClr val="FFBFBF"/>
              </a:solidFill>
              <a:ln>
                <a:noFill/>
              </a:ln>
              <a:effectLst/>
            </c:spPr>
            <c:extLst>
              <c:ext xmlns:c16="http://schemas.microsoft.com/office/drawing/2014/chart" uri="{C3380CC4-5D6E-409C-BE32-E72D297353CC}">
                <c16:uniqueId val="{00000032-53BF-419C-A54C-74CB87EFE29A}"/>
              </c:ext>
            </c:extLst>
          </c:dPt>
          <c:dPt>
            <c:idx val="2"/>
            <c:invertIfNegative val="0"/>
            <c:bubble3D val="0"/>
            <c:spPr>
              <a:solidFill>
                <a:srgbClr val="BFBFFF"/>
              </a:solidFill>
              <a:ln>
                <a:noFill/>
              </a:ln>
              <a:effectLst/>
            </c:spPr>
            <c:extLst>
              <c:ext xmlns:c16="http://schemas.microsoft.com/office/drawing/2014/chart" uri="{C3380CC4-5D6E-409C-BE32-E72D297353CC}">
                <c16:uniqueId val="{00000034-53BF-419C-A54C-74CB87EFE29A}"/>
              </c:ext>
            </c:extLst>
          </c:dPt>
          <c:dPt>
            <c:idx val="5"/>
            <c:invertIfNegative val="0"/>
            <c:bubble3D val="0"/>
            <c:spPr>
              <a:solidFill>
                <a:srgbClr val="FFBFBF"/>
              </a:solidFill>
              <a:ln>
                <a:noFill/>
              </a:ln>
              <a:effectLst/>
            </c:spPr>
            <c:extLst>
              <c:ext xmlns:c16="http://schemas.microsoft.com/office/drawing/2014/chart" uri="{C3380CC4-5D6E-409C-BE32-E72D297353CC}">
                <c16:uniqueId val="{00000036-53BF-419C-A54C-74CB87EFE29A}"/>
              </c:ext>
            </c:extLst>
          </c:dPt>
          <c:dPt>
            <c:idx val="6"/>
            <c:invertIfNegative val="0"/>
            <c:bubble3D val="0"/>
            <c:spPr>
              <a:solidFill>
                <a:srgbClr val="BFBFFF"/>
              </a:solidFill>
              <a:ln>
                <a:noFill/>
              </a:ln>
              <a:effectLst/>
            </c:spPr>
            <c:extLst>
              <c:ext xmlns:c16="http://schemas.microsoft.com/office/drawing/2014/chart" uri="{C3380CC4-5D6E-409C-BE32-E72D297353CC}">
                <c16:uniqueId val="{00000038-53BF-419C-A54C-74CB87EFE29A}"/>
              </c:ext>
            </c:extLst>
          </c:dPt>
          <c:dPt>
            <c:idx val="9"/>
            <c:invertIfNegative val="0"/>
            <c:bubble3D val="0"/>
            <c:spPr>
              <a:solidFill>
                <a:srgbClr val="FFBFBF"/>
              </a:solidFill>
              <a:ln>
                <a:noFill/>
              </a:ln>
              <a:effectLst/>
            </c:spPr>
            <c:extLst>
              <c:ext xmlns:c16="http://schemas.microsoft.com/office/drawing/2014/chart" uri="{C3380CC4-5D6E-409C-BE32-E72D297353CC}">
                <c16:uniqueId val="{0000003A-53BF-419C-A54C-74CB87EFE29A}"/>
              </c:ext>
            </c:extLst>
          </c:dPt>
          <c:dPt>
            <c:idx val="10"/>
            <c:invertIfNegative val="0"/>
            <c:bubble3D val="0"/>
            <c:spPr>
              <a:solidFill>
                <a:srgbClr val="BFBFFF"/>
              </a:solidFill>
              <a:ln>
                <a:noFill/>
              </a:ln>
              <a:effectLst/>
            </c:spPr>
            <c:extLst>
              <c:ext xmlns:c16="http://schemas.microsoft.com/office/drawing/2014/chart" uri="{C3380CC4-5D6E-409C-BE32-E72D297353CC}">
                <c16:uniqueId val="{0000003C-53BF-419C-A54C-74CB87EFE29A}"/>
              </c:ext>
            </c:extLst>
          </c:dPt>
          <c:dPt>
            <c:idx val="13"/>
            <c:invertIfNegative val="0"/>
            <c:bubble3D val="0"/>
            <c:spPr>
              <a:solidFill>
                <a:srgbClr val="FFBFBF"/>
              </a:solidFill>
              <a:ln>
                <a:noFill/>
              </a:ln>
              <a:effectLst/>
            </c:spPr>
            <c:extLst>
              <c:ext xmlns:c16="http://schemas.microsoft.com/office/drawing/2014/chart" uri="{C3380CC4-5D6E-409C-BE32-E72D297353CC}">
                <c16:uniqueId val="{0000003E-53BF-419C-A54C-74CB87EFE29A}"/>
              </c:ext>
            </c:extLst>
          </c:dPt>
          <c:dPt>
            <c:idx val="14"/>
            <c:invertIfNegative val="0"/>
            <c:bubble3D val="0"/>
            <c:spPr>
              <a:solidFill>
                <a:srgbClr val="BFBFFF"/>
              </a:solidFill>
              <a:ln>
                <a:noFill/>
              </a:ln>
              <a:effectLst/>
            </c:spPr>
            <c:extLst>
              <c:ext xmlns:c16="http://schemas.microsoft.com/office/drawing/2014/chart" uri="{C3380CC4-5D6E-409C-BE32-E72D297353CC}">
                <c16:uniqueId val="{00000040-53BF-419C-A54C-74CB87EFE29A}"/>
              </c:ext>
            </c:extLst>
          </c:dPt>
          <c:dPt>
            <c:idx val="17"/>
            <c:invertIfNegative val="0"/>
            <c:bubble3D val="0"/>
            <c:spPr>
              <a:solidFill>
                <a:srgbClr val="FFBFBF"/>
              </a:solidFill>
              <a:ln>
                <a:noFill/>
              </a:ln>
              <a:effectLst/>
            </c:spPr>
            <c:extLst>
              <c:ext xmlns:c16="http://schemas.microsoft.com/office/drawing/2014/chart" uri="{C3380CC4-5D6E-409C-BE32-E72D297353CC}">
                <c16:uniqueId val="{00000042-53BF-419C-A54C-74CB87EFE29A}"/>
              </c:ext>
            </c:extLst>
          </c:dPt>
          <c:dPt>
            <c:idx val="18"/>
            <c:invertIfNegative val="0"/>
            <c:bubble3D val="0"/>
            <c:spPr>
              <a:solidFill>
                <a:srgbClr val="BFBFFF"/>
              </a:solidFill>
              <a:ln>
                <a:noFill/>
              </a:ln>
              <a:effectLst/>
            </c:spPr>
            <c:extLst>
              <c:ext xmlns:c16="http://schemas.microsoft.com/office/drawing/2014/chart" uri="{C3380CC4-5D6E-409C-BE32-E72D297353CC}">
                <c16:uniqueId val="{00000044-53BF-419C-A54C-74CB87EFE29A}"/>
              </c:ext>
            </c:extLst>
          </c:dPt>
          <c:dPt>
            <c:idx val="21"/>
            <c:invertIfNegative val="0"/>
            <c:bubble3D val="0"/>
            <c:spPr>
              <a:solidFill>
                <a:srgbClr val="FFBFBF"/>
              </a:solidFill>
              <a:ln>
                <a:noFill/>
              </a:ln>
              <a:effectLst/>
            </c:spPr>
            <c:extLst>
              <c:ext xmlns:c16="http://schemas.microsoft.com/office/drawing/2014/chart" uri="{C3380CC4-5D6E-409C-BE32-E72D297353CC}">
                <c16:uniqueId val="{00000046-53BF-419C-A54C-74CB87EFE29A}"/>
              </c:ext>
            </c:extLst>
          </c:dPt>
          <c:dPt>
            <c:idx val="22"/>
            <c:invertIfNegative val="0"/>
            <c:bubble3D val="0"/>
            <c:spPr>
              <a:solidFill>
                <a:srgbClr val="BFBFFF"/>
              </a:solidFill>
              <a:ln>
                <a:noFill/>
              </a:ln>
              <a:effectLst/>
            </c:spPr>
            <c:extLst>
              <c:ext xmlns:c16="http://schemas.microsoft.com/office/drawing/2014/chart" uri="{C3380CC4-5D6E-409C-BE32-E72D297353CC}">
                <c16:uniqueId val="{00000048-53BF-419C-A54C-74CB87EFE29A}"/>
              </c:ext>
            </c:extLst>
          </c:dPt>
          <c:dPt>
            <c:idx val="25"/>
            <c:invertIfNegative val="0"/>
            <c:bubble3D val="0"/>
            <c:spPr>
              <a:solidFill>
                <a:srgbClr val="FFBFBF"/>
              </a:solidFill>
              <a:ln>
                <a:noFill/>
              </a:ln>
              <a:effectLst/>
            </c:spPr>
            <c:extLst>
              <c:ext xmlns:c16="http://schemas.microsoft.com/office/drawing/2014/chart" uri="{C3380CC4-5D6E-409C-BE32-E72D297353CC}">
                <c16:uniqueId val="{0000004A-53BF-419C-A54C-74CB87EFE29A}"/>
              </c:ext>
            </c:extLst>
          </c:dPt>
          <c:dPt>
            <c:idx val="26"/>
            <c:invertIfNegative val="0"/>
            <c:bubble3D val="0"/>
            <c:spPr>
              <a:solidFill>
                <a:srgbClr val="BFBFFF"/>
              </a:solidFill>
              <a:ln>
                <a:noFill/>
              </a:ln>
              <a:effectLst/>
            </c:spPr>
            <c:extLst>
              <c:ext xmlns:c16="http://schemas.microsoft.com/office/drawing/2014/chart" uri="{C3380CC4-5D6E-409C-BE32-E72D297353CC}">
                <c16:uniqueId val="{0000004C-53BF-419C-A54C-74CB87EFE29A}"/>
              </c:ext>
            </c:extLst>
          </c:dPt>
          <c:dPt>
            <c:idx val="29"/>
            <c:invertIfNegative val="0"/>
            <c:bubble3D val="0"/>
            <c:spPr>
              <a:solidFill>
                <a:srgbClr val="FFBFBF"/>
              </a:solidFill>
              <a:ln>
                <a:noFill/>
              </a:ln>
              <a:effectLst/>
            </c:spPr>
            <c:extLst>
              <c:ext xmlns:c16="http://schemas.microsoft.com/office/drawing/2014/chart" uri="{C3380CC4-5D6E-409C-BE32-E72D297353CC}">
                <c16:uniqueId val="{0000004E-53BF-419C-A54C-74CB87EFE29A}"/>
              </c:ext>
            </c:extLst>
          </c:dPt>
          <c:dPt>
            <c:idx val="30"/>
            <c:invertIfNegative val="0"/>
            <c:bubble3D val="0"/>
            <c:spPr>
              <a:solidFill>
                <a:srgbClr val="BFBFFF"/>
              </a:solidFill>
              <a:ln>
                <a:noFill/>
              </a:ln>
              <a:effectLst/>
            </c:spPr>
            <c:extLst>
              <c:ext xmlns:c16="http://schemas.microsoft.com/office/drawing/2014/chart" uri="{C3380CC4-5D6E-409C-BE32-E72D297353CC}">
                <c16:uniqueId val="{00000050-53BF-419C-A54C-74CB87EFE29A}"/>
              </c:ext>
            </c:extLst>
          </c:dPt>
          <c:dPt>
            <c:idx val="33"/>
            <c:invertIfNegative val="0"/>
            <c:bubble3D val="0"/>
            <c:spPr>
              <a:solidFill>
                <a:srgbClr val="FFBFBF"/>
              </a:solidFill>
              <a:ln>
                <a:noFill/>
              </a:ln>
              <a:effectLst/>
            </c:spPr>
            <c:extLst>
              <c:ext xmlns:c16="http://schemas.microsoft.com/office/drawing/2014/chart" uri="{C3380CC4-5D6E-409C-BE32-E72D297353CC}">
                <c16:uniqueId val="{00000052-53BF-419C-A54C-74CB87EFE29A}"/>
              </c:ext>
            </c:extLst>
          </c:dPt>
          <c:dPt>
            <c:idx val="34"/>
            <c:invertIfNegative val="0"/>
            <c:bubble3D val="0"/>
            <c:spPr>
              <a:solidFill>
                <a:srgbClr val="BFBFFF"/>
              </a:solidFill>
              <a:ln>
                <a:noFill/>
              </a:ln>
              <a:effectLst/>
            </c:spPr>
            <c:extLst>
              <c:ext xmlns:c16="http://schemas.microsoft.com/office/drawing/2014/chart" uri="{C3380CC4-5D6E-409C-BE32-E72D297353CC}">
                <c16:uniqueId val="{00000054-53BF-419C-A54C-74CB87EFE29A}"/>
              </c:ext>
            </c:extLst>
          </c:dPt>
          <c:dPt>
            <c:idx val="37"/>
            <c:invertIfNegative val="0"/>
            <c:bubble3D val="0"/>
            <c:spPr>
              <a:solidFill>
                <a:srgbClr val="FFBFBF"/>
              </a:solidFill>
              <a:ln>
                <a:noFill/>
              </a:ln>
              <a:effectLst/>
            </c:spPr>
            <c:extLst>
              <c:ext xmlns:c16="http://schemas.microsoft.com/office/drawing/2014/chart" uri="{C3380CC4-5D6E-409C-BE32-E72D297353CC}">
                <c16:uniqueId val="{00000056-53BF-419C-A54C-74CB87EFE29A}"/>
              </c:ext>
            </c:extLst>
          </c:dPt>
          <c:dPt>
            <c:idx val="38"/>
            <c:invertIfNegative val="0"/>
            <c:bubble3D val="0"/>
            <c:spPr>
              <a:solidFill>
                <a:srgbClr val="BFBFFF"/>
              </a:solidFill>
              <a:ln>
                <a:noFill/>
              </a:ln>
              <a:effectLst/>
            </c:spPr>
            <c:extLst>
              <c:ext xmlns:c16="http://schemas.microsoft.com/office/drawing/2014/chart" uri="{C3380CC4-5D6E-409C-BE32-E72D297353CC}">
                <c16:uniqueId val="{00000058-53BF-419C-A54C-74CB87EFE29A}"/>
              </c:ext>
            </c:extLst>
          </c:dPt>
          <c:dPt>
            <c:idx val="41"/>
            <c:invertIfNegative val="0"/>
            <c:bubble3D val="0"/>
            <c:spPr>
              <a:solidFill>
                <a:srgbClr val="FFBFBF"/>
              </a:solidFill>
              <a:ln>
                <a:noFill/>
              </a:ln>
              <a:effectLst/>
            </c:spPr>
            <c:extLst>
              <c:ext xmlns:c16="http://schemas.microsoft.com/office/drawing/2014/chart" uri="{C3380CC4-5D6E-409C-BE32-E72D297353CC}">
                <c16:uniqueId val="{0000005A-53BF-419C-A54C-74CB87EFE29A}"/>
              </c:ext>
            </c:extLst>
          </c:dPt>
          <c:dPt>
            <c:idx val="42"/>
            <c:invertIfNegative val="0"/>
            <c:bubble3D val="0"/>
            <c:spPr>
              <a:solidFill>
                <a:srgbClr val="BFBFFF"/>
              </a:solidFill>
              <a:ln>
                <a:noFill/>
              </a:ln>
              <a:effectLst/>
            </c:spPr>
            <c:extLst>
              <c:ext xmlns:c16="http://schemas.microsoft.com/office/drawing/2014/chart" uri="{C3380CC4-5D6E-409C-BE32-E72D297353CC}">
                <c16:uniqueId val="{0000005C-53BF-419C-A54C-74CB87EFE29A}"/>
              </c:ext>
            </c:extLst>
          </c:dPt>
          <c:dPt>
            <c:idx val="45"/>
            <c:invertIfNegative val="0"/>
            <c:bubble3D val="0"/>
            <c:spPr>
              <a:solidFill>
                <a:srgbClr val="FFBFBF"/>
              </a:solidFill>
              <a:ln>
                <a:noFill/>
              </a:ln>
              <a:effectLst/>
            </c:spPr>
            <c:extLst>
              <c:ext xmlns:c16="http://schemas.microsoft.com/office/drawing/2014/chart" uri="{C3380CC4-5D6E-409C-BE32-E72D297353CC}">
                <c16:uniqueId val="{0000005E-53BF-419C-A54C-74CB87EFE29A}"/>
              </c:ext>
            </c:extLst>
          </c:dPt>
          <c:dPt>
            <c:idx val="46"/>
            <c:invertIfNegative val="0"/>
            <c:bubble3D val="0"/>
            <c:spPr>
              <a:solidFill>
                <a:srgbClr val="BFBFFF"/>
              </a:solidFill>
              <a:ln>
                <a:noFill/>
              </a:ln>
              <a:effectLst/>
            </c:spPr>
            <c:extLst>
              <c:ext xmlns:c16="http://schemas.microsoft.com/office/drawing/2014/chart" uri="{C3380CC4-5D6E-409C-BE32-E72D297353CC}">
                <c16:uniqueId val="{00000060-53BF-419C-A54C-74CB87EFE29A}"/>
              </c:ext>
            </c:extLst>
          </c:dPt>
          <c:cat>
            <c:numRef>
              <c:f>Calculations!$D$59:$D$106</c:f>
              <c:numCache>
                <c:formatCode>mmm</c:formatCode>
                <c:ptCount val="48"/>
                <c:pt idx="0">
                  <c:v>46023</c:v>
                </c:pt>
                <c:pt idx="4">
                  <c:v>46054</c:v>
                </c:pt>
                <c:pt idx="8">
                  <c:v>46082</c:v>
                </c:pt>
                <c:pt idx="12">
                  <c:v>46113</c:v>
                </c:pt>
                <c:pt idx="16">
                  <c:v>46143</c:v>
                </c:pt>
                <c:pt idx="20">
                  <c:v>46174</c:v>
                </c:pt>
                <c:pt idx="24">
                  <c:v>46204</c:v>
                </c:pt>
                <c:pt idx="28">
                  <c:v>46235</c:v>
                </c:pt>
                <c:pt idx="32">
                  <c:v>46266</c:v>
                </c:pt>
                <c:pt idx="36">
                  <c:v>46296</c:v>
                </c:pt>
                <c:pt idx="40">
                  <c:v>46327</c:v>
                </c:pt>
                <c:pt idx="44">
                  <c:v>46357</c:v>
                </c:pt>
              </c:numCache>
            </c:numRef>
          </c:cat>
          <c:val>
            <c:numRef>
              <c:f>Calculations!$N$59:$N$106</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61-53BF-419C-A54C-74CB87EFE29A}"/>
            </c:ext>
          </c:extLst>
        </c:ser>
        <c:ser>
          <c:idx val="2"/>
          <c:order val="2"/>
          <c:spPr>
            <a:solidFill>
              <a:srgbClr val="00B050"/>
            </a:solidFill>
            <a:ln>
              <a:noFill/>
            </a:ln>
            <a:effectLst/>
          </c:spPr>
          <c:invertIfNegative val="0"/>
          <c:dPt>
            <c:idx val="1"/>
            <c:invertIfNegative val="0"/>
            <c:bubble3D val="0"/>
            <c:spPr>
              <a:solidFill>
                <a:srgbClr val="FF0000"/>
              </a:solidFill>
              <a:ln>
                <a:noFill/>
              </a:ln>
              <a:effectLst/>
            </c:spPr>
            <c:extLst>
              <c:ext xmlns:c16="http://schemas.microsoft.com/office/drawing/2014/chart" uri="{C3380CC4-5D6E-409C-BE32-E72D297353CC}">
                <c16:uniqueId val="{00000063-53BF-419C-A54C-74CB87EFE29A}"/>
              </c:ext>
            </c:extLst>
          </c:dPt>
          <c:dPt>
            <c:idx val="2"/>
            <c:invertIfNegative val="0"/>
            <c:bubble3D val="0"/>
            <c:spPr>
              <a:solidFill>
                <a:srgbClr val="0000FF"/>
              </a:solidFill>
              <a:ln>
                <a:noFill/>
              </a:ln>
              <a:effectLst/>
            </c:spPr>
            <c:extLst>
              <c:ext xmlns:c16="http://schemas.microsoft.com/office/drawing/2014/chart" uri="{C3380CC4-5D6E-409C-BE32-E72D297353CC}">
                <c16:uniqueId val="{00000065-53BF-419C-A54C-74CB87EFE29A}"/>
              </c:ext>
            </c:extLst>
          </c:dPt>
          <c:dPt>
            <c:idx val="5"/>
            <c:invertIfNegative val="0"/>
            <c:bubble3D val="0"/>
            <c:spPr>
              <a:solidFill>
                <a:srgbClr val="FF0000"/>
              </a:solidFill>
              <a:ln>
                <a:noFill/>
              </a:ln>
              <a:effectLst/>
            </c:spPr>
            <c:extLst>
              <c:ext xmlns:c16="http://schemas.microsoft.com/office/drawing/2014/chart" uri="{C3380CC4-5D6E-409C-BE32-E72D297353CC}">
                <c16:uniqueId val="{00000067-53BF-419C-A54C-74CB87EFE29A}"/>
              </c:ext>
            </c:extLst>
          </c:dPt>
          <c:dPt>
            <c:idx val="6"/>
            <c:invertIfNegative val="0"/>
            <c:bubble3D val="0"/>
            <c:spPr>
              <a:solidFill>
                <a:srgbClr val="0000FF"/>
              </a:solidFill>
              <a:ln>
                <a:noFill/>
              </a:ln>
              <a:effectLst/>
            </c:spPr>
            <c:extLst>
              <c:ext xmlns:c16="http://schemas.microsoft.com/office/drawing/2014/chart" uri="{C3380CC4-5D6E-409C-BE32-E72D297353CC}">
                <c16:uniqueId val="{00000069-53BF-419C-A54C-74CB87EFE29A}"/>
              </c:ext>
            </c:extLst>
          </c:dPt>
          <c:dPt>
            <c:idx val="9"/>
            <c:invertIfNegative val="0"/>
            <c:bubble3D val="0"/>
            <c:spPr>
              <a:solidFill>
                <a:srgbClr val="FF0000"/>
              </a:solidFill>
              <a:ln>
                <a:noFill/>
              </a:ln>
              <a:effectLst/>
            </c:spPr>
            <c:extLst>
              <c:ext xmlns:c16="http://schemas.microsoft.com/office/drawing/2014/chart" uri="{C3380CC4-5D6E-409C-BE32-E72D297353CC}">
                <c16:uniqueId val="{0000006B-53BF-419C-A54C-74CB87EFE29A}"/>
              </c:ext>
            </c:extLst>
          </c:dPt>
          <c:dPt>
            <c:idx val="10"/>
            <c:invertIfNegative val="0"/>
            <c:bubble3D val="0"/>
            <c:spPr>
              <a:solidFill>
                <a:srgbClr val="0000FF"/>
              </a:solidFill>
              <a:ln>
                <a:noFill/>
              </a:ln>
              <a:effectLst/>
            </c:spPr>
            <c:extLst>
              <c:ext xmlns:c16="http://schemas.microsoft.com/office/drawing/2014/chart" uri="{C3380CC4-5D6E-409C-BE32-E72D297353CC}">
                <c16:uniqueId val="{0000006D-53BF-419C-A54C-74CB87EFE29A}"/>
              </c:ext>
            </c:extLst>
          </c:dPt>
          <c:dPt>
            <c:idx val="13"/>
            <c:invertIfNegative val="0"/>
            <c:bubble3D val="0"/>
            <c:spPr>
              <a:solidFill>
                <a:srgbClr val="FF0000"/>
              </a:solidFill>
              <a:ln>
                <a:noFill/>
              </a:ln>
              <a:effectLst/>
            </c:spPr>
            <c:extLst>
              <c:ext xmlns:c16="http://schemas.microsoft.com/office/drawing/2014/chart" uri="{C3380CC4-5D6E-409C-BE32-E72D297353CC}">
                <c16:uniqueId val="{0000006F-53BF-419C-A54C-74CB87EFE29A}"/>
              </c:ext>
            </c:extLst>
          </c:dPt>
          <c:dPt>
            <c:idx val="14"/>
            <c:invertIfNegative val="0"/>
            <c:bubble3D val="0"/>
            <c:spPr>
              <a:solidFill>
                <a:srgbClr val="0000FF"/>
              </a:solidFill>
              <a:ln>
                <a:noFill/>
              </a:ln>
              <a:effectLst/>
            </c:spPr>
            <c:extLst>
              <c:ext xmlns:c16="http://schemas.microsoft.com/office/drawing/2014/chart" uri="{C3380CC4-5D6E-409C-BE32-E72D297353CC}">
                <c16:uniqueId val="{00000071-53BF-419C-A54C-74CB87EFE29A}"/>
              </c:ext>
            </c:extLst>
          </c:dPt>
          <c:dPt>
            <c:idx val="17"/>
            <c:invertIfNegative val="0"/>
            <c:bubble3D val="0"/>
            <c:spPr>
              <a:solidFill>
                <a:srgbClr val="FF0000"/>
              </a:solidFill>
              <a:ln>
                <a:noFill/>
              </a:ln>
              <a:effectLst/>
            </c:spPr>
            <c:extLst>
              <c:ext xmlns:c16="http://schemas.microsoft.com/office/drawing/2014/chart" uri="{C3380CC4-5D6E-409C-BE32-E72D297353CC}">
                <c16:uniqueId val="{00000073-53BF-419C-A54C-74CB87EFE29A}"/>
              </c:ext>
            </c:extLst>
          </c:dPt>
          <c:dPt>
            <c:idx val="18"/>
            <c:invertIfNegative val="0"/>
            <c:bubble3D val="0"/>
            <c:spPr>
              <a:solidFill>
                <a:srgbClr val="0000FF"/>
              </a:solidFill>
              <a:ln>
                <a:noFill/>
              </a:ln>
              <a:effectLst/>
            </c:spPr>
            <c:extLst>
              <c:ext xmlns:c16="http://schemas.microsoft.com/office/drawing/2014/chart" uri="{C3380CC4-5D6E-409C-BE32-E72D297353CC}">
                <c16:uniqueId val="{00000075-53BF-419C-A54C-74CB87EFE29A}"/>
              </c:ext>
            </c:extLst>
          </c:dPt>
          <c:dPt>
            <c:idx val="21"/>
            <c:invertIfNegative val="0"/>
            <c:bubble3D val="0"/>
            <c:spPr>
              <a:solidFill>
                <a:srgbClr val="FF0000"/>
              </a:solidFill>
              <a:ln>
                <a:noFill/>
              </a:ln>
              <a:effectLst/>
            </c:spPr>
            <c:extLst>
              <c:ext xmlns:c16="http://schemas.microsoft.com/office/drawing/2014/chart" uri="{C3380CC4-5D6E-409C-BE32-E72D297353CC}">
                <c16:uniqueId val="{00000077-53BF-419C-A54C-74CB87EFE29A}"/>
              </c:ext>
            </c:extLst>
          </c:dPt>
          <c:dPt>
            <c:idx val="22"/>
            <c:invertIfNegative val="0"/>
            <c:bubble3D val="0"/>
            <c:spPr>
              <a:solidFill>
                <a:srgbClr val="0000FF"/>
              </a:solidFill>
              <a:ln>
                <a:noFill/>
              </a:ln>
              <a:effectLst/>
            </c:spPr>
            <c:extLst>
              <c:ext xmlns:c16="http://schemas.microsoft.com/office/drawing/2014/chart" uri="{C3380CC4-5D6E-409C-BE32-E72D297353CC}">
                <c16:uniqueId val="{00000079-53BF-419C-A54C-74CB87EFE29A}"/>
              </c:ext>
            </c:extLst>
          </c:dPt>
          <c:dPt>
            <c:idx val="25"/>
            <c:invertIfNegative val="0"/>
            <c:bubble3D val="0"/>
            <c:spPr>
              <a:solidFill>
                <a:srgbClr val="FF0000"/>
              </a:solidFill>
              <a:ln>
                <a:noFill/>
              </a:ln>
              <a:effectLst/>
            </c:spPr>
            <c:extLst>
              <c:ext xmlns:c16="http://schemas.microsoft.com/office/drawing/2014/chart" uri="{C3380CC4-5D6E-409C-BE32-E72D297353CC}">
                <c16:uniqueId val="{0000007B-53BF-419C-A54C-74CB87EFE29A}"/>
              </c:ext>
            </c:extLst>
          </c:dPt>
          <c:dPt>
            <c:idx val="26"/>
            <c:invertIfNegative val="0"/>
            <c:bubble3D val="0"/>
            <c:spPr>
              <a:solidFill>
                <a:srgbClr val="0000FF"/>
              </a:solidFill>
              <a:ln>
                <a:noFill/>
              </a:ln>
              <a:effectLst/>
            </c:spPr>
            <c:extLst>
              <c:ext xmlns:c16="http://schemas.microsoft.com/office/drawing/2014/chart" uri="{C3380CC4-5D6E-409C-BE32-E72D297353CC}">
                <c16:uniqueId val="{0000007D-53BF-419C-A54C-74CB87EFE29A}"/>
              </c:ext>
            </c:extLst>
          </c:dPt>
          <c:dPt>
            <c:idx val="29"/>
            <c:invertIfNegative val="0"/>
            <c:bubble3D val="0"/>
            <c:spPr>
              <a:solidFill>
                <a:srgbClr val="FF0000"/>
              </a:solidFill>
              <a:ln>
                <a:noFill/>
              </a:ln>
              <a:effectLst/>
            </c:spPr>
            <c:extLst>
              <c:ext xmlns:c16="http://schemas.microsoft.com/office/drawing/2014/chart" uri="{C3380CC4-5D6E-409C-BE32-E72D297353CC}">
                <c16:uniqueId val="{0000007F-53BF-419C-A54C-74CB87EFE29A}"/>
              </c:ext>
            </c:extLst>
          </c:dPt>
          <c:dPt>
            <c:idx val="30"/>
            <c:invertIfNegative val="0"/>
            <c:bubble3D val="0"/>
            <c:spPr>
              <a:solidFill>
                <a:srgbClr val="0000FF"/>
              </a:solidFill>
              <a:ln>
                <a:noFill/>
              </a:ln>
              <a:effectLst/>
            </c:spPr>
            <c:extLst>
              <c:ext xmlns:c16="http://schemas.microsoft.com/office/drawing/2014/chart" uri="{C3380CC4-5D6E-409C-BE32-E72D297353CC}">
                <c16:uniqueId val="{00000081-53BF-419C-A54C-74CB87EFE29A}"/>
              </c:ext>
            </c:extLst>
          </c:dPt>
          <c:dPt>
            <c:idx val="33"/>
            <c:invertIfNegative val="0"/>
            <c:bubble3D val="0"/>
            <c:spPr>
              <a:solidFill>
                <a:srgbClr val="FF0000"/>
              </a:solidFill>
              <a:ln>
                <a:noFill/>
              </a:ln>
              <a:effectLst/>
            </c:spPr>
            <c:extLst>
              <c:ext xmlns:c16="http://schemas.microsoft.com/office/drawing/2014/chart" uri="{C3380CC4-5D6E-409C-BE32-E72D297353CC}">
                <c16:uniqueId val="{00000083-53BF-419C-A54C-74CB87EFE29A}"/>
              </c:ext>
            </c:extLst>
          </c:dPt>
          <c:dPt>
            <c:idx val="34"/>
            <c:invertIfNegative val="0"/>
            <c:bubble3D val="0"/>
            <c:spPr>
              <a:solidFill>
                <a:srgbClr val="0000FF"/>
              </a:solidFill>
              <a:ln>
                <a:noFill/>
              </a:ln>
              <a:effectLst/>
            </c:spPr>
            <c:extLst>
              <c:ext xmlns:c16="http://schemas.microsoft.com/office/drawing/2014/chart" uri="{C3380CC4-5D6E-409C-BE32-E72D297353CC}">
                <c16:uniqueId val="{00000085-53BF-419C-A54C-74CB87EFE29A}"/>
              </c:ext>
            </c:extLst>
          </c:dPt>
          <c:dPt>
            <c:idx val="37"/>
            <c:invertIfNegative val="0"/>
            <c:bubble3D val="0"/>
            <c:spPr>
              <a:solidFill>
                <a:srgbClr val="FF0000"/>
              </a:solidFill>
              <a:ln>
                <a:noFill/>
              </a:ln>
              <a:effectLst/>
            </c:spPr>
            <c:extLst>
              <c:ext xmlns:c16="http://schemas.microsoft.com/office/drawing/2014/chart" uri="{C3380CC4-5D6E-409C-BE32-E72D297353CC}">
                <c16:uniqueId val="{00000087-53BF-419C-A54C-74CB87EFE29A}"/>
              </c:ext>
            </c:extLst>
          </c:dPt>
          <c:dPt>
            <c:idx val="38"/>
            <c:invertIfNegative val="0"/>
            <c:bubble3D val="0"/>
            <c:spPr>
              <a:solidFill>
                <a:srgbClr val="0000FF"/>
              </a:solidFill>
              <a:ln>
                <a:noFill/>
              </a:ln>
              <a:effectLst/>
            </c:spPr>
            <c:extLst>
              <c:ext xmlns:c16="http://schemas.microsoft.com/office/drawing/2014/chart" uri="{C3380CC4-5D6E-409C-BE32-E72D297353CC}">
                <c16:uniqueId val="{00000089-53BF-419C-A54C-74CB87EFE29A}"/>
              </c:ext>
            </c:extLst>
          </c:dPt>
          <c:dPt>
            <c:idx val="41"/>
            <c:invertIfNegative val="0"/>
            <c:bubble3D val="0"/>
            <c:spPr>
              <a:solidFill>
                <a:srgbClr val="FF0000"/>
              </a:solidFill>
              <a:ln>
                <a:noFill/>
              </a:ln>
              <a:effectLst/>
            </c:spPr>
            <c:extLst>
              <c:ext xmlns:c16="http://schemas.microsoft.com/office/drawing/2014/chart" uri="{C3380CC4-5D6E-409C-BE32-E72D297353CC}">
                <c16:uniqueId val="{0000008B-53BF-419C-A54C-74CB87EFE29A}"/>
              </c:ext>
            </c:extLst>
          </c:dPt>
          <c:dPt>
            <c:idx val="42"/>
            <c:invertIfNegative val="0"/>
            <c:bubble3D val="0"/>
            <c:spPr>
              <a:solidFill>
                <a:srgbClr val="0000FF"/>
              </a:solidFill>
              <a:ln>
                <a:noFill/>
              </a:ln>
              <a:effectLst/>
            </c:spPr>
            <c:extLst>
              <c:ext xmlns:c16="http://schemas.microsoft.com/office/drawing/2014/chart" uri="{C3380CC4-5D6E-409C-BE32-E72D297353CC}">
                <c16:uniqueId val="{0000008D-53BF-419C-A54C-74CB87EFE29A}"/>
              </c:ext>
            </c:extLst>
          </c:dPt>
          <c:dPt>
            <c:idx val="45"/>
            <c:invertIfNegative val="0"/>
            <c:bubble3D val="0"/>
            <c:spPr>
              <a:solidFill>
                <a:srgbClr val="FF0000"/>
              </a:solidFill>
              <a:ln>
                <a:noFill/>
              </a:ln>
              <a:effectLst/>
            </c:spPr>
            <c:extLst>
              <c:ext xmlns:c16="http://schemas.microsoft.com/office/drawing/2014/chart" uri="{C3380CC4-5D6E-409C-BE32-E72D297353CC}">
                <c16:uniqueId val="{0000008F-53BF-419C-A54C-74CB87EFE29A}"/>
              </c:ext>
            </c:extLst>
          </c:dPt>
          <c:dPt>
            <c:idx val="46"/>
            <c:invertIfNegative val="0"/>
            <c:bubble3D val="0"/>
            <c:spPr>
              <a:solidFill>
                <a:srgbClr val="0000FF"/>
              </a:solidFill>
              <a:ln>
                <a:noFill/>
              </a:ln>
              <a:effectLst/>
            </c:spPr>
            <c:extLst>
              <c:ext xmlns:c16="http://schemas.microsoft.com/office/drawing/2014/chart" uri="{C3380CC4-5D6E-409C-BE32-E72D297353CC}">
                <c16:uniqueId val="{00000091-53BF-419C-A54C-74CB87EFE29A}"/>
              </c:ext>
            </c:extLst>
          </c:dPt>
          <c:cat>
            <c:numRef>
              <c:f>Calculations!$D$59:$D$106</c:f>
              <c:numCache>
                <c:formatCode>mmm</c:formatCode>
                <c:ptCount val="48"/>
                <c:pt idx="0">
                  <c:v>46023</c:v>
                </c:pt>
                <c:pt idx="4">
                  <c:v>46054</c:v>
                </c:pt>
                <c:pt idx="8">
                  <c:v>46082</c:v>
                </c:pt>
                <c:pt idx="12">
                  <c:v>46113</c:v>
                </c:pt>
                <c:pt idx="16">
                  <c:v>46143</c:v>
                </c:pt>
                <c:pt idx="20">
                  <c:v>46174</c:v>
                </c:pt>
                <c:pt idx="24">
                  <c:v>46204</c:v>
                </c:pt>
                <c:pt idx="28">
                  <c:v>46235</c:v>
                </c:pt>
                <c:pt idx="32">
                  <c:v>46266</c:v>
                </c:pt>
                <c:pt idx="36">
                  <c:v>46296</c:v>
                </c:pt>
                <c:pt idx="40">
                  <c:v>46327</c:v>
                </c:pt>
                <c:pt idx="44">
                  <c:v>46357</c:v>
                </c:pt>
              </c:numCache>
            </c:numRef>
          </c:cat>
          <c:val>
            <c:numRef>
              <c:f>Calculations!$O$59:$O$106</c:f>
              <c:numCache>
                <c:formatCode>_(* #,##0_);_(* \(#,##0\);_(* "-"??_);_(@_)</c:formatCode>
                <c:ptCount val="48"/>
                <c:pt idx="0">
                  <c:v>0</c:v>
                </c:pt>
                <c:pt idx="1">
                  <c:v>566.5</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2-53BF-419C-A54C-74CB87EFE29A}"/>
            </c:ext>
          </c:extLst>
        </c:ser>
        <c:ser>
          <c:idx val="3"/>
          <c:order val="3"/>
          <c:spPr>
            <a:solidFill>
              <a:srgbClr val="E0E0E0"/>
            </a:solidFill>
            <a:ln>
              <a:noFill/>
            </a:ln>
            <a:effectLst/>
          </c:spPr>
          <c:invertIfNegative val="0"/>
          <c:cat>
            <c:numRef>
              <c:f>Calculations!$D$59:$D$106</c:f>
              <c:numCache>
                <c:formatCode>mmm</c:formatCode>
                <c:ptCount val="48"/>
                <c:pt idx="0">
                  <c:v>46023</c:v>
                </c:pt>
                <c:pt idx="4">
                  <c:v>46054</c:v>
                </c:pt>
                <c:pt idx="8">
                  <c:v>46082</c:v>
                </c:pt>
                <c:pt idx="12">
                  <c:v>46113</c:v>
                </c:pt>
                <c:pt idx="16">
                  <c:v>46143</c:v>
                </c:pt>
                <c:pt idx="20">
                  <c:v>46174</c:v>
                </c:pt>
                <c:pt idx="24">
                  <c:v>46204</c:v>
                </c:pt>
                <c:pt idx="28">
                  <c:v>46235</c:v>
                </c:pt>
                <c:pt idx="32">
                  <c:v>46266</c:v>
                </c:pt>
                <c:pt idx="36">
                  <c:v>46296</c:v>
                </c:pt>
                <c:pt idx="40">
                  <c:v>46327</c:v>
                </c:pt>
                <c:pt idx="44">
                  <c:v>46357</c:v>
                </c:pt>
              </c:numCache>
            </c:numRef>
          </c:cat>
          <c:val>
            <c:numRef>
              <c:f>Calculations!$P$59:$P$106</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3-53BF-419C-A54C-74CB87EFE29A}"/>
            </c:ext>
          </c:extLst>
        </c:ser>
        <c:ser>
          <c:idx val="4"/>
          <c:order val="4"/>
          <c:spPr>
            <a:solidFill>
              <a:srgbClr val="F3F3F3"/>
            </a:solidFill>
            <a:ln>
              <a:noFill/>
            </a:ln>
            <a:effectLst/>
          </c:spPr>
          <c:invertIfNegative val="0"/>
          <c:cat>
            <c:numRef>
              <c:f>Calculations!$D$59:$D$106</c:f>
              <c:numCache>
                <c:formatCode>mmm</c:formatCode>
                <c:ptCount val="48"/>
                <c:pt idx="0">
                  <c:v>46023</c:v>
                </c:pt>
                <c:pt idx="4">
                  <c:v>46054</c:v>
                </c:pt>
                <c:pt idx="8">
                  <c:v>46082</c:v>
                </c:pt>
                <c:pt idx="12">
                  <c:v>46113</c:v>
                </c:pt>
                <c:pt idx="16">
                  <c:v>46143</c:v>
                </c:pt>
                <c:pt idx="20">
                  <c:v>46174</c:v>
                </c:pt>
                <c:pt idx="24">
                  <c:v>46204</c:v>
                </c:pt>
                <c:pt idx="28">
                  <c:v>46235</c:v>
                </c:pt>
                <c:pt idx="32">
                  <c:v>46266</c:v>
                </c:pt>
                <c:pt idx="36">
                  <c:v>46296</c:v>
                </c:pt>
                <c:pt idx="40">
                  <c:v>46327</c:v>
                </c:pt>
                <c:pt idx="44">
                  <c:v>46357</c:v>
                </c:pt>
              </c:numCache>
            </c:numRef>
          </c:cat>
          <c:val>
            <c:numRef>
              <c:f>Calculations!$Q$59:$Q$106</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4-53BF-419C-A54C-74CB87EFE29A}"/>
            </c:ext>
          </c:extLst>
        </c:ser>
        <c:ser>
          <c:idx val="5"/>
          <c:order val="5"/>
          <c:spPr>
            <a:solidFill>
              <a:srgbClr val="D3D3D3"/>
            </a:solidFill>
            <a:ln>
              <a:noFill/>
            </a:ln>
            <a:effectLst/>
          </c:spPr>
          <c:invertIfNegative val="0"/>
          <c:cat>
            <c:numRef>
              <c:f>Calculations!$D$59:$D$106</c:f>
              <c:numCache>
                <c:formatCode>mmm</c:formatCode>
                <c:ptCount val="48"/>
                <c:pt idx="0">
                  <c:v>46023</c:v>
                </c:pt>
                <c:pt idx="4">
                  <c:v>46054</c:v>
                </c:pt>
                <c:pt idx="8">
                  <c:v>46082</c:v>
                </c:pt>
                <c:pt idx="12">
                  <c:v>46113</c:v>
                </c:pt>
                <c:pt idx="16">
                  <c:v>46143</c:v>
                </c:pt>
                <c:pt idx="20">
                  <c:v>46174</c:v>
                </c:pt>
                <c:pt idx="24">
                  <c:v>46204</c:v>
                </c:pt>
                <c:pt idx="28">
                  <c:v>46235</c:v>
                </c:pt>
                <c:pt idx="32">
                  <c:v>46266</c:v>
                </c:pt>
                <c:pt idx="36">
                  <c:v>46296</c:v>
                </c:pt>
                <c:pt idx="40">
                  <c:v>46327</c:v>
                </c:pt>
                <c:pt idx="44">
                  <c:v>46357</c:v>
                </c:pt>
              </c:numCache>
            </c:numRef>
          </c:cat>
          <c:val>
            <c:numRef>
              <c:f>Calculations!$R$59:$R$106</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5-53BF-419C-A54C-74CB87EFE29A}"/>
            </c:ext>
          </c:extLst>
        </c:ser>
        <c:dLbls>
          <c:showLegendKey val="0"/>
          <c:showVal val="0"/>
          <c:showCatName val="0"/>
          <c:showSerName val="0"/>
          <c:showPercent val="0"/>
          <c:showBubbleSize val="0"/>
        </c:dLbls>
        <c:gapWidth val="15"/>
        <c:overlap val="100"/>
        <c:axId val="616191072"/>
        <c:axId val="616192512"/>
      </c:barChart>
      <c:catAx>
        <c:axId val="616191072"/>
        <c:scaling>
          <c:orientation val="minMax"/>
        </c:scaling>
        <c:delete val="0"/>
        <c:axPos val="b"/>
        <c:numFmt formatCode="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bg1">
                    <a:lumMod val="65000"/>
                  </a:schemeClr>
                </a:solidFill>
                <a:latin typeface="+mn-lt"/>
                <a:ea typeface="+mn-ea"/>
                <a:cs typeface="+mn-cs"/>
              </a:defRPr>
            </a:pPr>
            <a:endParaRPr lang="fr-FR"/>
          </a:p>
        </c:txPr>
        <c:crossAx val="616192512"/>
        <c:crosses val="autoZero"/>
        <c:auto val="0"/>
        <c:lblAlgn val="ctr"/>
        <c:lblOffset val="100"/>
        <c:noMultiLvlLbl val="0"/>
      </c:catAx>
      <c:valAx>
        <c:axId val="616192512"/>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65000"/>
                  </a:schemeClr>
                </a:solidFill>
                <a:latin typeface="+mn-lt"/>
                <a:ea typeface="+mn-ea"/>
                <a:cs typeface="+mn-cs"/>
              </a:defRPr>
            </a:pPr>
            <a:endParaRPr lang="fr-FR"/>
          </a:p>
        </c:txPr>
        <c:crossAx val="61619107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chemeClr val="bg1">
                <a:lumMod val="85000"/>
              </a:schemeClr>
            </a:solidFill>
            <a:ln>
              <a:noFill/>
            </a:ln>
            <a:effectLst/>
          </c:spPr>
          <c:invertIfNegative val="0"/>
          <c:val>
            <c:numRef>
              <c:f>Calculations!$E$28</c:f>
              <c:numCache>
                <c:formatCode>0%</c:formatCode>
                <c:ptCount val="1"/>
                <c:pt idx="0">
                  <c:v>0.61290322580645162</c:v>
                </c:pt>
              </c:numCache>
            </c:numRef>
          </c:val>
          <c:extLst>
            <c:ext xmlns:c16="http://schemas.microsoft.com/office/drawing/2014/chart" uri="{C3380CC4-5D6E-409C-BE32-E72D297353CC}">
              <c16:uniqueId val="{00000000-4634-46C8-8C4B-4A373608D87E}"/>
            </c:ext>
          </c:extLst>
        </c:ser>
        <c:dLbls>
          <c:showLegendKey val="0"/>
          <c:showVal val="0"/>
          <c:showCatName val="0"/>
          <c:showSerName val="0"/>
          <c:showPercent val="0"/>
          <c:showBubbleSize val="0"/>
        </c:dLbls>
        <c:gapWidth val="0"/>
        <c:axId val="1069692511"/>
        <c:axId val="1069700191"/>
      </c:barChart>
      <c:catAx>
        <c:axId val="1069692511"/>
        <c:scaling>
          <c:orientation val="minMax"/>
        </c:scaling>
        <c:delete val="1"/>
        <c:axPos val="l"/>
        <c:majorTickMark val="none"/>
        <c:minorTickMark val="none"/>
        <c:tickLblPos val="nextTo"/>
        <c:crossAx val="1069700191"/>
        <c:crosses val="autoZero"/>
        <c:auto val="1"/>
        <c:lblAlgn val="ctr"/>
        <c:lblOffset val="100"/>
        <c:noMultiLvlLbl val="0"/>
      </c:catAx>
      <c:valAx>
        <c:axId val="1069700191"/>
        <c:scaling>
          <c:orientation val="minMax"/>
          <c:max val="1"/>
        </c:scaling>
        <c:delete val="1"/>
        <c:axPos val="b"/>
        <c:numFmt formatCode="0%" sourceLinked="1"/>
        <c:majorTickMark val="none"/>
        <c:minorTickMark val="none"/>
        <c:tickLblPos val="nextTo"/>
        <c:crossAx val="1069692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alculations!$E$53" lockText="1" noThreeD="1"/>
</file>

<file path=xl/ctrlProps/ctrlProp2.xml><?xml version="1.0" encoding="utf-8"?>
<formControlPr xmlns="http://schemas.microsoft.com/office/spreadsheetml/2009/9/main" objectType="CheckBox" checked="Checked" fmlaLink="Calculations!$E$54" lockText="1" noThreeD="1"/>
</file>

<file path=xl/ctrlProps/ctrlProp3.xml><?xml version="1.0" encoding="utf-8"?>
<formControlPr xmlns="http://schemas.microsoft.com/office/spreadsheetml/2009/9/main" objectType="CheckBox" checked="Checked" fmlaLink="Calculations!$E$55" lockText="1" noThreeD="1"/>
</file>

<file path=xl/ctrlProps/ctrlProp4.xml><?xml version="1.0" encoding="utf-8"?>
<formControlPr xmlns="http://schemas.microsoft.com/office/spreadsheetml/2009/9/main" objectType="CheckBox" checked="Checked" fmlaLink="Calculations!$E$56"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2</xdr:col>
      <xdr:colOff>3818</xdr:colOff>
      <xdr:row>4</xdr:row>
      <xdr:rowOff>34636</xdr:rowOff>
    </xdr:from>
    <xdr:to>
      <xdr:col>3</xdr:col>
      <xdr:colOff>32505</xdr:colOff>
      <xdr:row>8</xdr:row>
      <xdr:rowOff>187036</xdr:rowOff>
    </xdr:to>
    <xdr:grpSp>
      <xdr:nvGrpSpPr>
        <xdr:cNvPr id="9" name="Date Of Today">
          <a:extLst>
            <a:ext uri="{FF2B5EF4-FFF2-40B4-BE49-F238E27FC236}">
              <a16:creationId xmlns:a16="http://schemas.microsoft.com/office/drawing/2014/main" id="{5D075566-4B3D-A093-800B-06C9B09C2449}"/>
            </a:ext>
          </a:extLst>
        </xdr:cNvPr>
        <xdr:cNvGrpSpPr/>
      </xdr:nvGrpSpPr>
      <xdr:grpSpPr>
        <a:xfrm>
          <a:off x="289568" y="796636"/>
          <a:ext cx="1457437" cy="914400"/>
          <a:chOff x="300151" y="796636"/>
          <a:chExt cx="1457437" cy="914400"/>
        </a:xfrm>
      </xdr:grpSpPr>
      <xdr:sp macro="" textlink="">
        <xdr:nvSpPr>
          <xdr:cNvPr id="2" name="Rectangle: Rounded Corners 1">
            <a:extLst>
              <a:ext uri="{FF2B5EF4-FFF2-40B4-BE49-F238E27FC236}">
                <a16:creationId xmlns:a16="http://schemas.microsoft.com/office/drawing/2014/main" id="{139C0BB4-EAE6-3B15-E0BC-B7F59325D7EC}"/>
              </a:ext>
            </a:extLst>
          </xdr:cNvPr>
          <xdr:cNvSpPr/>
        </xdr:nvSpPr>
        <xdr:spPr>
          <a:xfrm>
            <a:off x="300151" y="796636"/>
            <a:ext cx="1457437" cy="914400"/>
          </a:xfrm>
          <a:prstGeom prst="roundRect">
            <a:avLst>
              <a:gd name="adj" fmla="val 12879"/>
            </a:avLst>
          </a:prstGeom>
          <a:solidFill>
            <a:schemeClr val="bg1"/>
          </a:solidFill>
          <a:ln w="6350">
            <a:solidFill>
              <a:schemeClr val="bg1">
                <a:lumMod val="85000"/>
              </a:schemeClr>
            </a:solidFill>
          </a:ln>
          <a:effectLst>
            <a:outerShdw blurRad="825500" dist="127000" dir="5400000" sx="95000" sy="95000" algn="ctr" rotWithShape="0">
              <a:srgbClr val="000000">
                <a:alpha val="1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1440" numCol="1" spcCol="0" rtlCol="0" anchor="t"/>
          <a:lstStyle/>
          <a:p>
            <a:pPr algn="l"/>
            <a:endParaRPr lang="fr-FR" sz="1100"/>
          </a:p>
        </xdr:txBody>
      </xdr:sp>
      <xdr:sp macro="" textlink="">
        <xdr:nvSpPr>
          <xdr:cNvPr id="3" name="TextBox 2">
            <a:extLst>
              <a:ext uri="{FF2B5EF4-FFF2-40B4-BE49-F238E27FC236}">
                <a16:creationId xmlns:a16="http://schemas.microsoft.com/office/drawing/2014/main" id="{4542533F-AAE1-27EC-40E4-822CC2149857}"/>
              </a:ext>
            </a:extLst>
          </xdr:cNvPr>
          <xdr:cNvSpPr txBox="1">
            <a:spLocks/>
          </xdr:cNvSpPr>
        </xdr:nvSpPr>
        <xdr:spPr>
          <a:xfrm>
            <a:off x="373722" y="1045204"/>
            <a:ext cx="1020206"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91440" numCol="1" spcCol="0" rtlCol="0" anchor="ctr"/>
          <a:lstStyle/>
          <a:p>
            <a:pPr algn="l"/>
            <a:r>
              <a:rPr lang="fr-FR" sz="1100" b="1"/>
              <a:t>Date of Today</a:t>
            </a:r>
          </a:p>
        </xdr:txBody>
      </xdr:sp>
      <xdr:sp macro="" textlink="Calculations!E8">
        <xdr:nvSpPr>
          <xdr:cNvPr id="4" name="TextBox 3">
            <a:extLst>
              <a:ext uri="{FF2B5EF4-FFF2-40B4-BE49-F238E27FC236}">
                <a16:creationId xmlns:a16="http://schemas.microsoft.com/office/drawing/2014/main" id="{7E557115-ED10-45DD-B8FD-4422BECE2210}"/>
              </a:ext>
            </a:extLst>
          </xdr:cNvPr>
          <xdr:cNvSpPr txBox="1">
            <a:spLocks/>
          </xdr:cNvSpPr>
        </xdr:nvSpPr>
        <xdr:spPr>
          <a:xfrm>
            <a:off x="373722" y="1292854"/>
            <a:ext cx="1020206"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91440" numCol="1" spcCol="0" rtlCol="0" anchor="ctr"/>
          <a:lstStyle/>
          <a:p>
            <a:pPr algn="l"/>
            <a:fld id="{9A278398-7602-4FFE-8E4E-23F11D3E5F24}" type="TxLink">
              <a:rPr lang="en-US" sz="1200" b="1" i="0" u="none" strike="noStrike">
                <a:solidFill>
                  <a:srgbClr val="000000"/>
                </a:solidFill>
                <a:latin typeface="Calibri"/>
                <a:ea typeface="Calibri"/>
                <a:cs typeface="Calibri"/>
              </a:rPr>
              <a:pPr algn="l"/>
              <a:t>19-Jan-26</a:t>
            </a:fld>
            <a:endParaRPr lang="fr-FR" sz="1200" b="1"/>
          </a:p>
        </xdr:txBody>
      </xdr:sp>
    </xdr:grpSp>
    <xdr:clientData/>
  </xdr:twoCellAnchor>
  <xdr:twoCellAnchor editAs="absolute">
    <xdr:from>
      <xdr:col>3</xdr:col>
      <xdr:colOff>368405</xdr:colOff>
      <xdr:row>4</xdr:row>
      <xdr:rowOff>32008</xdr:rowOff>
    </xdr:from>
    <xdr:to>
      <xdr:col>4</xdr:col>
      <xdr:colOff>1273918</xdr:colOff>
      <xdr:row>8</xdr:row>
      <xdr:rowOff>184408</xdr:rowOff>
    </xdr:to>
    <xdr:grpSp>
      <xdr:nvGrpSpPr>
        <xdr:cNvPr id="29" name="Date of Last Record Group">
          <a:extLst>
            <a:ext uri="{FF2B5EF4-FFF2-40B4-BE49-F238E27FC236}">
              <a16:creationId xmlns:a16="http://schemas.microsoft.com/office/drawing/2014/main" id="{C2C39CB1-6D33-2BF9-D1F4-BA955AF8164B}"/>
            </a:ext>
          </a:extLst>
        </xdr:cNvPr>
        <xdr:cNvGrpSpPr/>
      </xdr:nvGrpSpPr>
      <xdr:grpSpPr>
        <a:xfrm>
          <a:off x="2082905" y="794008"/>
          <a:ext cx="2058038" cy="914400"/>
          <a:chOff x="2082905" y="796636"/>
          <a:chExt cx="2058257" cy="914400"/>
        </a:xfrm>
      </xdr:grpSpPr>
      <xdr:sp macro="" textlink="">
        <xdr:nvSpPr>
          <xdr:cNvPr id="5" name="Rectangle: Rounded Corners 4">
            <a:extLst>
              <a:ext uri="{FF2B5EF4-FFF2-40B4-BE49-F238E27FC236}">
                <a16:creationId xmlns:a16="http://schemas.microsoft.com/office/drawing/2014/main" id="{1438A89E-30EA-41E3-B780-23B756D972BE}"/>
              </a:ext>
            </a:extLst>
          </xdr:cNvPr>
          <xdr:cNvSpPr/>
        </xdr:nvSpPr>
        <xdr:spPr>
          <a:xfrm>
            <a:off x="2082905" y="796636"/>
            <a:ext cx="2058257" cy="914400"/>
          </a:xfrm>
          <a:prstGeom prst="roundRect">
            <a:avLst>
              <a:gd name="adj" fmla="val 12879"/>
            </a:avLst>
          </a:prstGeom>
          <a:solidFill>
            <a:schemeClr val="bg1"/>
          </a:solidFill>
          <a:ln w="6350">
            <a:solidFill>
              <a:schemeClr val="bg1">
                <a:lumMod val="85000"/>
              </a:schemeClr>
            </a:solidFill>
          </a:ln>
          <a:effectLst>
            <a:outerShdw blurRad="825500" dist="127000" dir="5400000" sx="95000" sy="95000" algn="ctr" rotWithShape="0">
              <a:srgbClr val="000000">
                <a:alpha val="1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 name="TextBox 5">
            <a:extLst>
              <a:ext uri="{FF2B5EF4-FFF2-40B4-BE49-F238E27FC236}">
                <a16:creationId xmlns:a16="http://schemas.microsoft.com/office/drawing/2014/main" id="{125B6AAE-A8EF-4505-AFC9-BAA45911641A}"/>
              </a:ext>
            </a:extLst>
          </xdr:cNvPr>
          <xdr:cNvSpPr txBox="1">
            <a:spLocks/>
          </xdr:cNvSpPr>
        </xdr:nvSpPr>
        <xdr:spPr>
          <a:xfrm>
            <a:off x="2156476" y="1045204"/>
            <a:ext cx="1372457"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100" b="1"/>
              <a:t>Date of Last Record</a:t>
            </a:r>
          </a:p>
        </xdr:txBody>
      </xdr:sp>
      <xdr:sp macro="" textlink="Calculations!E9">
        <xdr:nvSpPr>
          <xdr:cNvPr id="7" name="TextBox 6">
            <a:extLst>
              <a:ext uri="{FF2B5EF4-FFF2-40B4-BE49-F238E27FC236}">
                <a16:creationId xmlns:a16="http://schemas.microsoft.com/office/drawing/2014/main" id="{E7C0E041-C37A-42B3-9824-50D65B96907A}"/>
              </a:ext>
            </a:extLst>
          </xdr:cNvPr>
          <xdr:cNvSpPr txBox="1">
            <a:spLocks/>
          </xdr:cNvSpPr>
        </xdr:nvSpPr>
        <xdr:spPr>
          <a:xfrm>
            <a:off x="2156476" y="1292854"/>
            <a:ext cx="822376"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DFEC0F6-3AAC-4EC5-857D-04A03E992131}" type="TxLink">
              <a:rPr lang="en-US" sz="1200" b="1" i="0" u="none" strike="noStrike">
                <a:solidFill>
                  <a:srgbClr val="000000"/>
                </a:solidFill>
                <a:latin typeface="Calibri"/>
                <a:ea typeface="Calibri"/>
                <a:cs typeface="Calibri"/>
              </a:rPr>
              <a:pPr algn="l"/>
              <a:t>19-Jan-26</a:t>
            </a:fld>
            <a:endParaRPr lang="fr-FR" sz="1400" b="1"/>
          </a:p>
        </xdr:txBody>
      </xdr:sp>
      <xdr:sp macro="" textlink="Calculations!E10">
        <xdr:nvSpPr>
          <xdr:cNvPr id="8" name="TextBox 7">
            <a:extLst>
              <a:ext uri="{FF2B5EF4-FFF2-40B4-BE49-F238E27FC236}">
                <a16:creationId xmlns:a16="http://schemas.microsoft.com/office/drawing/2014/main" id="{CF4ACBE3-7B3D-432B-9388-7A67CB1E9DDE}"/>
              </a:ext>
            </a:extLst>
          </xdr:cNvPr>
          <xdr:cNvSpPr txBox="1">
            <a:spLocks/>
          </xdr:cNvSpPr>
        </xdr:nvSpPr>
        <xdr:spPr>
          <a:xfrm>
            <a:off x="2978911" y="1292854"/>
            <a:ext cx="1098137"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7FF6F10-02F9-42C4-8C40-592BF0E96E33}" type="TxLink">
              <a:rPr lang="en-US" sz="1050" b="0" i="0" u="none" strike="noStrike">
                <a:solidFill>
                  <a:srgbClr val="000000"/>
                </a:solidFill>
                <a:latin typeface="Calibri"/>
                <a:ea typeface="Calibri"/>
                <a:cs typeface="Calibri"/>
              </a:rPr>
              <a:pPr algn="l"/>
              <a:t>(0 Days ago)</a:t>
            </a:fld>
            <a:endParaRPr lang="fr-FR" sz="1050" b="0"/>
          </a:p>
        </xdr:txBody>
      </xdr:sp>
    </xdr:grpSp>
    <xdr:clientData/>
  </xdr:twoCellAnchor>
  <xdr:twoCellAnchor editAs="absolute">
    <xdr:from>
      <xdr:col>5</xdr:col>
      <xdr:colOff>174593</xdr:colOff>
      <xdr:row>4</xdr:row>
      <xdr:rowOff>32008</xdr:rowOff>
    </xdr:from>
    <xdr:to>
      <xdr:col>6</xdr:col>
      <xdr:colOff>816466</xdr:colOff>
      <xdr:row>8</xdr:row>
      <xdr:rowOff>184408</xdr:rowOff>
    </xdr:to>
    <xdr:grpSp>
      <xdr:nvGrpSpPr>
        <xdr:cNvPr id="30" name="Total Tracking Balance $ Group">
          <a:extLst>
            <a:ext uri="{FF2B5EF4-FFF2-40B4-BE49-F238E27FC236}">
              <a16:creationId xmlns:a16="http://schemas.microsoft.com/office/drawing/2014/main" id="{DCCF6ECF-AB17-070E-6F8D-72A80F089FC1}"/>
            </a:ext>
          </a:extLst>
        </xdr:cNvPr>
        <xdr:cNvGrpSpPr/>
      </xdr:nvGrpSpPr>
      <xdr:grpSpPr>
        <a:xfrm>
          <a:off x="4470368" y="794008"/>
          <a:ext cx="3023123" cy="914400"/>
          <a:chOff x="4476190" y="791380"/>
          <a:chExt cx="3025803" cy="914400"/>
        </a:xfrm>
      </xdr:grpSpPr>
      <xdr:sp macro="" textlink="">
        <xdr:nvSpPr>
          <xdr:cNvPr id="17" name="Rectangle: Rounded Corners 16">
            <a:extLst>
              <a:ext uri="{FF2B5EF4-FFF2-40B4-BE49-F238E27FC236}">
                <a16:creationId xmlns:a16="http://schemas.microsoft.com/office/drawing/2014/main" id="{C764099C-96AC-41DE-9C89-8D9EDCD4EEEF}"/>
              </a:ext>
            </a:extLst>
          </xdr:cNvPr>
          <xdr:cNvSpPr/>
        </xdr:nvSpPr>
        <xdr:spPr>
          <a:xfrm>
            <a:off x="4476190" y="791380"/>
            <a:ext cx="3025803" cy="914400"/>
          </a:xfrm>
          <a:prstGeom prst="roundRect">
            <a:avLst>
              <a:gd name="adj" fmla="val 12879"/>
            </a:avLst>
          </a:prstGeom>
          <a:solidFill>
            <a:schemeClr val="bg1"/>
          </a:solidFill>
          <a:ln w="6350">
            <a:solidFill>
              <a:schemeClr val="bg1">
                <a:lumMod val="85000"/>
              </a:schemeClr>
            </a:solidFill>
          </a:ln>
          <a:effectLst>
            <a:outerShdw blurRad="825500" dist="127000" dir="5400000" sx="95000" sy="95000" algn="ctr" rotWithShape="0">
              <a:srgbClr val="000000">
                <a:alpha val="1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8" name="TextBox 17">
            <a:extLst>
              <a:ext uri="{FF2B5EF4-FFF2-40B4-BE49-F238E27FC236}">
                <a16:creationId xmlns:a16="http://schemas.microsoft.com/office/drawing/2014/main" id="{3FC0E8DA-F2C6-4814-83AB-7C17096DC430}"/>
              </a:ext>
            </a:extLst>
          </xdr:cNvPr>
          <xdr:cNvSpPr txBox="1">
            <a:spLocks/>
          </xdr:cNvSpPr>
        </xdr:nvSpPr>
        <xdr:spPr>
          <a:xfrm>
            <a:off x="4549762" y="1039948"/>
            <a:ext cx="1646777"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100" b="1">
                <a:solidFill>
                  <a:sysClr val="windowText" lastClr="000000"/>
                </a:solidFill>
                <a:latin typeface="+mn-lt"/>
              </a:rPr>
              <a:t>Total</a:t>
            </a:r>
            <a:r>
              <a:rPr lang="fr-FR" sz="1100" b="1" baseline="0">
                <a:solidFill>
                  <a:sysClr val="windowText" lastClr="000000"/>
                </a:solidFill>
                <a:latin typeface="+mn-lt"/>
              </a:rPr>
              <a:t> Tracking Balance $</a:t>
            </a:r>
            <a:endParaRPr lang="fr-FR" sz="1100" b="1">
              <a:solidFill>
                <a:sysClr val="windowText" lastClr="000000"/>
              </a:solidFill>
              <a:latin typeface="+mn-lt"/>
            </a:endParaRPr>
          </a:p>
        </xdr:txBody>
      </xdr:sp>
      <xdr:sp macro="" textlink="Calculations!E13">
        <xdr:nvSpPr>
          <xdr:cNvPr id="19" name="TextBox 18">
            <a:extLst>
              <a:ext uri="{FF2B5EF4-FFF2-40B4-BE49-F238E27FC236}">
                <a16:creationId xmlns:a16="http://schemas.microsoft.com/office/drawing/2014/main" id="{86E1087D-0E04-4E70-87E9-F01F9EE5BD88}"/>
              </a:ext>
            </a:extLst>
          </xdr:cNvPr>
          <xdr:cNvSpPr txBox="1">
            <a:spLocks/>
          </xdr:cNvSpPr>
        </xdr:nvSpPr>
        <xdr:spPr>
          <a:xfrm>
            <a:off x="4549762" y="1287598"/>
            <a:ext cx="73152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C8540BE-0F36-412D-9EE6-85FF00710565}" type="TxLink">
              <a:rPr lang="en-US" sz="1100" b="1" i="0" u="none" strike="noStrike">
                <a:solidFill>
                  <a:srgbClr val="000000"/>
                </a:solidFill>
                <a:latin typeface="Calibri"/>
                <a:ea typeface="Calibri"/>
                <a:cs typeface="Calibri"/>
              </a:rPr>
              <a:pPr algn="l"/>
              <a:t> 762 </a:t>
            </a:fld>
            <a:endParaRPr lang="fr-FR" sz="1600" b="1"/>
          </a:p>
        </xdr:txBody>
      </xdr:sp>
      <xdr:sp macro="" textlink="Calculations!E16">
        <xdr:nvSpPr>
          <xdr:cNvPr id="20" name="TextBox 19">
            <a:extLst>
              <a:ext uri="{FF2B5EF4-FFF2-40B4-BE49-F238E27FC236}">
                <a16:creationId xmlns:a16="http://schemas.microsoft.com/office/drawing/2014/main" id="{84CDF627-DA80-4748-867F-C90A5B3D874F}"/>
              </a:ext>
            </a:extLst>
          </xdr:cNvPr>
          <xdr:cNvSpPr txBox="1">
            <a:spLocks/>
          </xdr:cNvSpPr>
        </xdr:nvSpPr>
        <xdr:spPr>
          <a:xfrm>
            <a:off x="5244101" y="1287598"/>
            <a:ext cx="2248563"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A4217B2A-40DE-48E7-8C02-3FC9E0502253}" type="TxLink">
              <a:rPr lang="en-US" sz="1050" b="0" i="0" u="none" strike="noStrike">
                <a:solidFill>
                  <a:srgbClr val="000000"/>
                </a:solidFill>
                <a:latin typeface="Calibri"/>
                <a:ea typeface="Calibri"/>
                <a:cs typeface="Calibri"/>
              </a:rPr>
              <a:pPr algn="l"/>
              <a:t>of tracked income left to be allocated</a:t>
            </a:fld>
            <a:endParaRPr lang="fr-FR" sz="1050" b="0"/>
          </a:p>
        </xdr:txBody>
      </xdr:sp>
    </xdr:grpSp>
    <xdr:clientData/>
  </xdr:twoCellAnchor>
  <xdr:twoCellAnchor editAs="absolute">
    <xdr:from>
      <xdr:col>6</xdr:col>
      <xdr:colOff>1155851</xdr:colOff>
      <xdr:row>4</xdr:row>
      <xdr:rowOff>32008</xdr:rowOff>
    </xdr:from>
    <xdr:to>
      <xdr:col>8</xdr:col>
      <xdr:colOff>315746</xdr:colOff>
      <xdr:row>8</xdr:row>
      <xdr:rowOff>184408</xdr:rowOff>
    </xdr:to>
    <xdr:grpSp>
      <xdr:nvGrpSpPr>
        <xdr:cNvPr id="31" name="Total Tracking Balance LBP Group">
          <a:extLst>
            <a:ext uri="{FF2B5EF4-FFF2-40B4-BE49-F238E27FC236}">
              <a16:creationId xmlns:a16="http://schemas.microsoft.com/office/drawing/2014/main" id="{859E7010-3207-9763-0F2F-3F6EAD6210C0}"/>
            </a:ext>
          </a:extLst>
        </xdr:cNvPr>
        <xdr:cNvGrpSpPr/>
      </xdr:nvGrpSpPr>
      <xdr:grpSpPr>
        <a:xfrm>
          <a:off x="7832876" y="794008"/>
          <a:ext cx="3017520" cy="914400"/>
          <a:chOff x="7841378" y="794104"/>
          <a:chExt cx="3025803" cy="914400"/>
        </a:xfrm>
      </xdr:grpSpPr>
      <xdr:sp macro="" textlink="">
        <xdr:nvSpPr>
          <xdr:cNvPr id="21" name="Rectangle: Rounded Corners 20">
            <a:extLst>
              <a:ext uri="{FF2B5EF4-FFF2-40B4-BE49-F238E27FC236}">
                <a16:creationId xmlns:a16="http://schemas.microsoft.com/office/drawing/2014/main" id="{F66233C8-BBD1-4111-B035-C0987C289AF9}"/>
              </a:ext>
            </a:extLst>
          </xdr:cNvPr>
          <xdr:cNvSpPr/>
        </xdr:nvSpPr>
        <xdr:spPr>
          <a:xfrm>
            <a:off x="7841378" y="794104"/>
            <a:ext cx="3025803" cy="914400"/>
          </a:xfrm>
          <a:prstGeom prst="roundRect">
            <a:avLst>
              <a:gd name="adj" fmla="val 12879"/>
            </a:avLst>
          </a:prstGeom>
          <a:solidFill>
            <a:schemeClr val="bg1"/>
          </a:solidFill>
          <a:ln w="6350">
            <a:solidFill>
              <a:schemeClr val="bg1">
                <a:lumMod val="85000"/>
              </a:schemeClr>
            </a:solidFill>
          </a:ln>
          <a:effectLst>
            <a:outerShdw blurRad="825500" dist="127000" dir="5400000" sx="95000" sy="95000" algn="ctr" rotWithShape="0">
              <a:srgbClr val="000000">
                <a:alpha val="1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2" name="TextBox 21">
            <a:extLst>
              <a:ext uri="{FF2B5EF4-FFF2-40B4-BE49-F238E27FC236}">
                <a16:creationId xmlns:a16="http://schemas.microsoft.com/office/drawing/2014/main" id="{82972480-EFF3-4F14-9DFE-DC6D5E5F010C}"/>
              </a:ext>
            </a:extLst>
          </xdr:cNvPr>
          <xdr:cNvSpPr txBox="1">
            <a:spLocks/>
          </xdr:cNvSpPr>
        </xdr:nvSpPr>
        <xdr:spPr>
          <a:xfrm>
            <a:off x="7914950" y="1042672"/>
            <a:ext cx="1738216"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100" b="1">
                <a:solidFill>
                  <a:sysClr val="windowText" lastClr="000000"/>
                </a:solidFill>
                <a:latin typeface="+mn-lt"/>
              </a:rPr>
              <a:t>Total</a:t>
            </a:r>
            <a:r>
              <a:rPr lang="fr-FR" sz="1100" b="1" baseline="0">
                <a:solidFill>
                  <a:sysClr val="windowText" lastClr="000000"/>
                </a:solidFill>
                <a:latin typeface="+mn-lt"/>
              </a:rPr>
              <a:t> Tracking Balance LBP</a:t>
            </a:r>
            <a:endParaRPr lang="fr-FR" sz="1100" b="1">
              <a:solidFill>
                <a:sysClr val="windowText" lastClr="000000"/>
              </a:solidFill>
              <a:latin typeface="+mn-lt"/>
            </a:endParaRPr>
          </a:p>
        </xdr:txBody>
      </xdr:sp>
      <xdr:sp macro="" textlink="Calculations!E14">
        <xdr:nvSpPr>
          <xdr:cNvPr id="23" name="TextBox 22">
            <a:extLst>
              <a:ext uri="{FF2B5EF4-FFF2-40B4-BE49-F238E27FC236}">
                <a16:creationId xmlns:a16="http://schemas.microsoft.com/office/drawing/2014/main" id="{C018CF53-5BCD-4CC8-871E-9D0D2DC51294}"/>
              </a:ext>
            </a:extLst>
          </xdr:cNvPr>
          <xdr:cNvSpPr txBox="1">
            <a:spLocks/>
          </xdr:cNvSpPr>
        </xdr:nvSpPr>
        <xdr:spPr>
          <a:xfrm>
            <a:off x="7914949" y="1290322"/>
            <a:ext cx="825219"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DC6918D-10C2-4922-A2FB-1C2096CA3AE0}" type="TxLink">
              <a:rPr lang="en-US" sz="1100" b="1" i="0" u="none" strike="noStrike">
                <a:solidFill>
                  <a:srgbClr val="000000"/>
                </a:solidFill>
                <a:latin typeface="Calibri"/>
                <a:ea typeface="Calibri"/>
                <a:cs typeface="Calibri"/>
              </a:rPr>
              <a:pPr algn="l"/>
              <a:t> 25,000 </a:t>
            </a:fld>
            <a:endParaRPr lang="fr-FR" sz="1600" b="1"/>
          </a:p>
        </xdr:txBody>
      </xdr:sp>
      <xdr:sp macro="" textlink="Calculations!E17">
        <xdr:nvSpPr>
          <xdr:cNvPr id="24" name="TextBox 23">
            <a:extLst>
              <a:ext uri="{FF2B5EF4-FFF2-40B4-BE49-F238E27FC236}">
                <a16:creationId xmlns:a16="http://schemas.microsoft.com/office/drawing/2014/main" id="{ED1DDFD3-12F9-4846-975D-69EB2025C2EA}"/>
              </a:ext>
            </a:extLst>
          </xdr:cNvPr>
          <xdr:cNvSpPr txBox="1">
            <a:spLocks/>
          </xdr:cNvSpPr>
        </xdr:nvSpPr>
        <xdr:spPr>
          <a:xfrm>
            <a:off x="8613430" y="1290322"/>
            <a:ext cx="2244422"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D06A93D-D417-480B-A3E4-2D94756319BA}" type="TxLink">
              <a:rPr lang="en-US" sz="1050" b="0" i="0" u="none" strike="noStrike">
                <a:solidFill>
                  <a:srgbClr val="000000"/>
                </a:solidFill>
                <a:latin typeface="Calibri"/>
                <a:ea typeface="Calibri"/>
                <a:cs typeface="Calibri"/>
              </a:rPr>
              <a:pPr algn="l"/>
              <a:t>of tracked income left to be allocated</a:t>
            </a:fld>
            <a:endParaRPr lang="fr-FR" sz="1050" b="0"/>
          </a:p>
        </xdr:txBody>
      </xdr:sp>
    </xdr:grpSp>
    <xdr:clientData/>
  </xdr:twoCellAnchor>
  <xdr:twoCellAnchor editAs="absolute">
    <xdr:from>
      <xdr:col>8</xdr:col>
      <xdr:colOff>637979</xdr:colOff>
      <xdr:row>4</xdr:row>
      <xdr:rowOff>32008</xdr:rowOff>
    </xdr:from>
    <xdr:to>
      <xdr:col>10</xdr:col>
      <xdr:colOff>804970</xdr:colOff>
      <xdr:row>8</xdr:row>
      <xdr:rowOff>184408</xdr:rowOff>
    </xdr:to>
    <xdr:grpSp>
      <xdr:nvGrpSpPr>
        <xdr:cNvPr id="32" name="Total Tracking Balance € Group">
          <a:extLst>
            <a:ext uri="{FF2B5EF4-FFF2-40B4-BE49-F238E27FC236}">
              <a16:creationId xmlns:a16="http://schemas.microsoft.com/office/drawing/2014/main" id="{79F57053-4B7C-8540-25F9-753F998C68D5}"/>
            </a:ext>
          </a:extLst>
        </xdr:cNvPr>
        <xdr:cNvGrpSpPr/>
      </xdr:nvGrpSpPr>
      <xdr:grpSpPr>
        <a:xfrm>
          <a:off x="11172629" y="794008"/>
          <a:ext cx="3024491" cy="914400"/>
          <a:chOff x="11195016" y="794104"/>
          <a:chExt cx="3024089" cy="914400"/>
        </a:xfrm>
      </xdr:grpSpPr>
      <xdr:sp macro="" textlink="">
        <xdr:nvSpPr>
          <xdr:cNvPr id="25" name="Rectangle: Rounded Corners 24">
            <a:extLst>
              <a:ext uri="{FF2B5EF4-FFF2-40B4-BE49-F238E27FC236}">
                <a16:creationId xmlns:a16="http://schemas.microsoft.com/office/drawing/2014/main" id="{87347EA2-BBF3-4C82-A162-DFC947639852}"/>
              </a:ext>
            </a:extLst>
          </xdr:cNvPr>
          <xdr:cNvSpPr/>
        </xdr:nvSpPr>
        <xdr:spPr>
          <a:xfrm>
            <a:off x="11195016" y="794104"/>
            <a:ext cx="3024089" cy="914400"/>
          </a:xfrm>
          <a:prstGeom prst="roundRect">
            <a:avLst>
              <a:gd name="adj" fmla="val 12879"/>
            </a:avLst>
          </a:prstGeom>
          <a:solidFill>
            <a:schemeClr val="bg1"/>
          </a:solidFill>
          <a:ln w="6350">
            <a:solidFill>
              <a:schemeClr val="bg1">
                <a:lumMod val="85000"/>
              </a:schemeClr>
            </a:solidFill>
          </a:ln>
          <a:effectLst>
            <a:outerShdw blurRad="825500" dist="127000" dir="5400000" sx="95000" sy="95000" algn="ctr" rotWithShape="0">
              <a:srgbClr val="000000">
                <a:alpha val="1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6" name="TextBox 25">
            <a:extLst>
              <a:ext uri="{FF2B5EF4-FFF2-40B4-BE49-F238E27FC236}">
                <a16:creationId xmlns:a16="http://schemas.microsoft.com/office/drawing/2014/main" id="{C303F815-F878-46F4-A814-D1AA134C13D0}"/>
              </a:ext>
            </a:extLst>
          </xdr:cNvPr>
          <xdr:cNvSpPr txBox="1">
            <a:spLocks/>
          </xdr:cNvSpPr>
        </xdr:nvSpPr>
        <xdr:spPr>
          <a:xfrm>
            <a:off x="11268588" y="1042672"/>
            <a:ext cx="173736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100" b="1">
                <a:solidFill>
                  <a:sysClr val="windowText" lastClr="000000"/>
                </a:solidFill>
                <a:latin typeface="+mn-lt"/>
              </a:rPr>
              <a:t>Total</a:t>
            </a:r>
            <a:r>
              <a:rPr lang="fr-FR" sz="1100" b="1" baseline="0">
                <a:solidFill>
                  <a:sysClr val="windowText" lastClr="000000"/>
                </a:solidFill>
                <a:latin typeface="+mn-lt"/>
              </a:rPr>
              <a:t> Tracking Balance €</a:t>
            </a:r>
            <a:endParaRPr lang="fr-FR" sz="1100" b="1">
              <a:solidFill>
                <a:sysClr val="windowText" lastClr="000000"/>
              </a:solidFill>
              <a:latin typeface="+mn-lt"/>
            </a:endParaRPr>
          </a:p>
        </xdr:txBody>
      </xdr:sp>
      <xdr:sp macro="" textlink="Calculations!E15">
        <xdr:nvSpPr>
          <xdr:cNvPr id="27" name="TextBox 26">
            <a:extLst>
              <a:ext uri="{FF2B5EF4-FFF2-40B4-BE49-F238E27FC236}">
                <a16:creationId xmlns:a16="http://schemas.microsoft.com/office/drawing/2014/main" id="{39AF97F2-7001-4F5E-A6A6-E1C306782648}"/>
              </a:ext>
            </a:extLst>
          </xdr:cNvPr>
          <xdr:cNvSpPr txBox="1">
            <a:spLocks/>
          </xdr:cNvSpPr>
        </xdr:nvSpPr>
        <xdr:spPr>
          <a:xfrm>
            <a:off x="11268588" y="1290322"/>
            <a:ext cx="734805"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18CD3112-F15C-4EFC-B607-568F99376545}" type="TxLink">
              <a:rPr lang="en-US" sz="1100" b="1" i="0" u="none" strike="noStrike">
                <a:solidFill>
                  <a:srgbClr val="000000"/>
                </a:solidFill>
                <a:latin typeface="Calibri"/>
                <a:ea typeface="Calibri"/>
                <a:cs typeface="Calibri"/>
              </a:rPr>
              <a:pPr algn="l"/>
              <a:t> 6,204 </a:t>
            </a:fld>
            <a:endParaRPr lang="fr-FR" sz="1600" b="1"/>
          </a:p>
        </xdr:txBody>
      </xdr:sp>
      <xdr:sp macro="" textlink="Calculations!E18">
        <xdr:nvSpPr>
          <xdr:cNvPr id="28" name="TextBox 27">
            <a:extLst>
              <a:ext uri="{FF2B5EF4-FFF2-40B4-BE49-F238E27FC236}">
                <a16:creationId xmlns:a16="http://schemas.microsoft.com/office/drawing/2014/main" id="{F8322AC2-3D37-40A0-9973-BE6A394BBA68}"/>
              </a:ext>
            </a:extLst>
          </xdr:cNvPr>
          <xdr:cNvSpPr txBox="1">
            <a:spLocks/>
          </xdr:cNvSpPr>
        </xdr:nvSpPr>
        <xdr:spPr>
          <a:xfrm>
            <a:off x="11966212" y="1290322"/>
            <a:ext cx="2243564"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D1E471A-C82E-4FD1-8871-81675B700B5F}" type="TxLink">
              <a:rPr lang="en-US" sz="1050" b="0" i="0" u="none" strike="noStrike">
                <a:solidFill>
                  <a:srgbClr val="000000"/>
                </a:solidFill>
                <a:latin typeface="Calibri"/>
                <a:ea typeface="Calibri"/>
                <a:cs typeface="Calibri"/>
              </a:rPr>
              <a:pPr algn="l"/>
              <a:t>of tracked income left to be allocated</a:t>
            </a:fld>
            <a:endParaRPr lang="fr-FR" sz="1050" b="0"/>
          </a:p>
        </xdr:txBody>
      </xdr:sp>
    </xdr:grpSp>
    <xdr:clientData/>
  </xdr:twoCellAnchor>
  <xdr:twoCellAnchor>
    <xdr:from>
      <xdr:col>6</xdr:col>
      <xdr:colOff>1933575</xdr:colOff>
      <xdr:row>256</xdr:row>
      <xdr:rowOff>57150</xdr:rowOff>
    </xdr:from>
    <xdr:to>
      <xdr:col>8</xdr:col>
      <xdr:colOff>361950</xdr:colOff>
      <xdr:row>267</xdr:row>
      <xdr:rowOff>57150</xdr:rowOff>
    </xdr:to>
    <mc:AlternateContent xmlns:mc="http://schemas.openxmlformats.org/markup-compatibility/2006">
      <mc:Choice xmlns:we="http://schemas.microsoft.com/office/webextensions/webextension/2010/11" Requires="we">
        <xdr:graphicFrame macro="">
          <xdr:nvGraphicFramePr>
            <xdr:cNvPr id="12" name="Add-in 11">
              <a:extLst>
                <a:ext uri="{FF2B5EF4-FFF2-40B4-BE49-F238E27FC236}">
                  <a16:creationId xmlns:a16="http://schemas.microsoft.com/office/drawing/2014/main" id="{F1AC3DB8-AB73-4002-B342-523A8F9D5668}"/>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12" name="Add-in 11">
              <a:extLst>
                <a:ext uri="{FF2B5EF4-FFF2-40B4-BE49-F238E27FC236}">
                  <a16:creationId xmlns:a16="http://schemas.microsoft.com/office/drawing/2014/main" id="{F1AC3DB8-AB73-4002-B342-523A8F9D5668}"/>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mc:AlternateContent xmlns:mc="http://schemas.openxmlformats.org/markup-compatibility/2006">
    <mc:Choice xmlns:a14="http://schemas.microsoft.com/office/drawing/2010/main" Requires="a14">
      <xdr:twoCellAnchor editAs="oneCell">
        <xdr:from>
          <xdr:col>9</xdr:col>
          <xdr:colOff>647700</xdr:colOff>
          <xdr:row>257</xdr:row>
          <xdr:rowOff>85725</xdr:rowOff>
        </xdr:from>
        <xdr:to>
          <xdr:col>10</xdr:col>
          <xdr:colOff>1047750</xdr:colOff>
          <xdr:row>260</xdr:row>
          <xdr:rowOff>66675</xdr:rowOff>
        </xdr:to>
        <xdr:sp macro="" textlink="">
          <xdr:nvSpPr>
            <xdr:cNvPr id="6160" name="CommandButton1" hidden="1">
              <a:extLst>
                <a:ext uri="{63B3BB69-23CF-44E3-9099-C40C66FF867C}">
                  <a14:compatExt spid="_x0000_s6160"/>
                </a:ext>
                <a:ext uri="{FF2B5EF4-FFF2-40B4-BE49-F238E27FC236}">
                  <a16:creationId xmlns:a16="http://schemas.microsoft.com/office/drawing/2014/main" id="{00000000-0008-0000-0200-00001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39</xdr:col>
      <xdr:colOff>95250</xdr:colOff>
      <xdr:row>12</xdr:row>
      <xdr:rowOff>85725</xdr:rowOff>
    </xdr:from>
    <xdr:to>
      <xdr:col>40</xdr:col>
      <xdr:colOff>960665</xdr:colOff>
      <xdr:row>13</xdr:row>
      <xdr:rowOff>123825</xdr:rowOff>
    </xdr:to>
    <xdr:sp macro="" textlink="">
      <xdr:nvSpPr>
        <xdr:cNvPr id="2" name="TextBox 1">
          <a:extLst>
            <a:ext uri="{FF2B5EF4-FFF2-40B4-BE49-F238E27FC236}">
              <a16:creationId xmlns:a16="http://schemas.microsoft.com/office/drawing/2014/main" id="{3CCEE7D8-E940-6967-D254-66DE1EE872E0}"/>
            </a:ext>
          </a:extLst>
        </xdr:cNvPr>
        <xdr:cNvSpPr txBox="1"/>
      </xdr:nvSpPr>
      <xdr:spPr>
        <a:xfrm>
          <a:off x="9478736" y="2371725"/>
          <a:ext cx="20574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100" b="1">
              <a:solidFill>
                <a:srgbClr val="00B050"/>
              </a:solidFill>
            </a:rPr>
            <a:t>Income</a:t>
          </a:r>
          <a:r>
            <a:rPr lang="fr-FR" sz="1100" b="1"/>
            <a:t> Categories (Tracked)</a:t>
          </a:r>
        </a:p>
      </xdr:txBody>
    </xdr:sp>
    <xdr:clientData/>
  </xdr:twoCellAnchor>
  <xdr:twoCellAnchor editAs="oneCell">
    <xdr:from>
      <xdr:col>39</xdr:col>
      <xdr:colOff>95250</xdr:colOff>
      <xdr:row>15</xdr:row>
      <xdr:rowOff>1359</xdr:rowOff>
    </xdr:from>
    <xdr:to>
      <xdr:col>40</xdr:col>
      <xdr:colOff>503465</xdr:colOff>
      <xdr:row>23</xdr:row>
      <xdr:rowOff>77559</xdr:rowOff>
    </xdr:to>
    <xdr:graphicFrame macro="">
      <xdr:nvGraphicFramePr>
        <xdr:cNvPr id="3" name="Chart 2">
          <a:extLst>
            <a:ext uri="{FF2B5EF4-FFF2-40B4-BE49-F238E27FC236}">
              <a16:creationId xmlns:a16="http://schemas.microsoft.com/office/drawing/2014/main" id="{645D7D9C-2B02-4323-A71A-F4488A6691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39</xdr:col>
      <xdr:colOff>95250</xdr:colOff>
      <xdr:row>25</xdr:row>
      <xdr:rowOff>85725</xdr:rowOff>
    </xdr:from>
    <xdr:ext cx="2056039" cy="228600"/>
    <xdr:sp macro="" textlink="">
      <xdr:nvSpPr>
        <xdr:cNvPr id="4" name="TextBox 3">
          <a:extLst>
            <a:ext uri="{FF2B5EF4-FFF2-40B4-BE49-F238E27FC236}">
              <a16:creationId xmlns:a16="http://schemas.microsoft.com/office/drawing/2014/main" id="{C0394178-F663-45EF-A366-B685A794DC76}"/>
            </a:ext>
          </a:extLst>
        </xdr:cNvPr>
        <xdr:cNvSpPr txBox="1"/>
      </xdr:nvSpPr>
      <xdr:spPr>
        <a:xfrm>
          <a:off x="9572625" y="2371725"/>
          <a:ext cx="205603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100" b="1">
              <a:solidFill>
                <a:srgbClr val="FF0000"/>
              </a:solidFill>
            </a:rPr>
            <a:t>Expenses</a:t>
          </a:r>
          <a:r>
            <a:rPr lang="fr-FR" sz="1100" b="1"/>
            <a:t> Categories (Tracked)</a:t>
          </a:r>
        </a:p>
      </xdr:txBody>
    </xdr:sp>
    <xdr:clientData/>
  </xdr:oneCellAnchor>
  <xdr:oneCellAnchor>
    <xdr:from>
      <xdr:col>39</xdr:col>
      <xdr:colOff>95250</xdr:colOff>
      <xdr:row>28</xdr:row>
      <xdr:rowOff>1359</xdr:rowOff>
    </xdr:from>
    <xdr:ext cx="1598839" cy="1600200"/>
    <xdr:graphicFrame macro="">
      <xdr:nvGraphicFramePr>
        <xdr:cNvPr id="5" name="Chart 4">
          <a:extLst>
            <a:ext uri="{FF2B5EF4-FFF2-40B4-BE49-F238E27FC236}">
              <a16:creationId xmlns:a16="http://schemas.microsoft.com/office/drawing/2014/main" id="{523C4526-E53D-4BF5-9004-2691D2D470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46</xdr:col>
      <xdr:colOff>95250</xdr:colOff>
      <xdr:row>25</xdr:row>
      <xdr:rowOff>85725</xdr:rowOff>
    </xdr:from>
    <xdr:ext cx="2056039" cy="228600"/>
    <xdr:sp macro="" textlink="">
      <xdr:nvSpPr>
        <xdr:cNvPr id="6" name="TextBox 5">
          <a:extLst>
            <a:ext uri="{FF2B5EF4-FFF2-40B4-BE49-F238E27FC236}">
              <a16:creationId xmlns:a16="http://schemas.microsoft.com/office/drawing/2014/main" id="{6533B8A2-BF58-4ADD-A2B7-E2C8DEFA5BA9}"/>
            </a:ext>
          </a:extLst>
        </xdr:cNvPr>
        <xdr:cNvSpPr txBox="1"/>
      </xdr:nvSpPr>
      <xdr:spPr>
        <a:xfrm>
          <a:off x="9580836" y="4848225"/>
          <a:ext cx="205603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100" b="1">
              <a:solidFill>
                <a:srgbClr val="0000FF"/>
              </a:solidFill>
            </a:rPr>
            <a:t>Savings</a:t>
          </a:r>
          <a:r>
            <a:rPr lang="fr-FR" sz="1100" b="1"/>
            <a:t> Categories (Tracked)</a:t>
          </a:r>
        </a:p>
      </xdr:txBody>
    </xdr:sp>
    <xdr:clientData/>
  </xdr:oneCellAnchor>
  <xdr:oneCellAnchor>
    <xdr:from>
      <xdr:col>46</xdr:col>
      <xdr:colOff>95250</xdr:colOff>
      <xdr:row>28</xdr:row>
      <xdr:rowOff>1359</xdr:rowOff>
    </xdr:from>
    <xdr:ext cx="1598839" cy="1600200"/>
    <xdr:graphicFrame macro="">
      <xdr:nvGraphicFramePr>
        <xdr:cNvPr id="7" name="Chart 6">
          <a:extLst>
            <a:ext uri="{FF2B5EF4-FFF2-40B4-BE49-F238E27FC236}">
              <a16:creationId xmlns:a16="http://schemas.microsoft.com/office/drawing/2014/main" id="{5810BF35-5167-4995-9017-25F3F3F18F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46</xdr:col>
      <xdr:colOff>95250</xdr:colOff>
      <xdr:row>12</xdr:row>
      <xdr:rowOff>85725</xdr:rowOff>
    </xdr:from>
    <xdr:ext cx="2056040" cy="228600"/>
    <xdr:sp macro="" textlink="">
      <xdr:nvSpPr>
        <xdr:cNvPr id="8" name="TextBox 7">
          <a:extLst>
            <a:ext uri="{FF2B5EF4-FFF2-40B4-BE49-F238E27FC236}">
              <a16:creationId xmlns:a16="http://schemas.microsoft.com/office/drawing/2014/main" id="{F9B30BC5-B8D8-4659-9EEF-4236AF41F123}"/>
            </a:ext>
          </a:extLst>
        </xdr:cNvPr>
        <xdr:cNvSpPr txBox="1"/>
      </xdr:nvSpPr>
      <xdr:spPr>
        <a:xfrm>
          <a:off x="15552964" y="2371725"/>
          <a:ext cx="205604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100" b="1"/>
            <a:t>Tracked</a:t>
          </a:r>
          <a:r>
            <a:rPr lang="fr-FR" sz="1100" b="1" baseline="0"/>
            <a:t> (vs. Budget)</a:t>
          </a:r>
          <a:endParaRPr lang="fr-FR" sz="1100" b="1"/>
        </a:p>
      </xdr:txBody>
    </xdr:sp>
    <xdr:clientData/>
  </xdr:oneCellAnchor>
  <xdr:twoCellAnchor>
    <xdr:from>
      <xdr:col>46</xdr:col>
      <xdr:colOff>76200</xdr:colOff>
      <xdr:row>14</xdr:row>
      <xdr:rowOff>19049</xdr:rowOff>
    </xdr:from>
    <xdr:to>
      <xdr:col>51</xdr:col>
      <xdr:colOff>447067</xdr:colOff>
      <xdr:row>23</xdr:row>
      <xdr:rowOff>166180</xdr:rowOff>
    </xdr:to>
    <xdr:graphicFrame macro="">
      <xdr:nvGraphicFramePr>
        <xdr:cNvPr id="9" name="Chart 8">
          <a:extLst>
            <a:ext uri="{FF2B5EF4-FFF2-40B4-BE49-F238E27FC236}">
              <a16:creationId xmlns:a16="http://schemas.microsoft.com/office/drawing/2014/main" id="{EDCD7B0A-C251-4013-8871-ACBE599C06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50</xdr:col>
          <xdr:colOff>1000125</xdr:colOff>
          <xdr:row>13</xdr:row>
          <xdr:rowOff>152400</xdr:rowOff>
        </xdr:from>
        <xdr:to>
          <xdr:col>51</xdr:col>
          <xdr:colOff>333375</xdr:colOff>
          <xdr:row>14</xdr:row>
          <xdr:rowOff>104775</xdr:rowOff>
        </xdr:to>
        <xdr:sp macro="" textlink="">
          <xdr:nvSpPr>
            <xdr:cNvPr id="7173" name="Budget Check Box" hidden="1">
              <a:extLst>
                <a:ext uri="{63B3BB69-23CF-44E3-9099-C40C66FF867C}">
                  <a14:compatExt spid="_x0000_s7173"/>
                </a:ext>
                <a:ext uri="{FF2B5EF4-FFF2-40B4-BE49-F238E27FC236}">
                  <a16:creationId xmlns:a16="http://schemas.microsoft.com/office/drawing/2014/main" id="{00000000-0008-0000-03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Budget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1000125</xdr:colOff>
          <xdr:row>12</xdr:row>
          <xdr:rowOff>142875</xdr:rowOff>
        </xdr:from>
        <xdr:to>
          <xdr:col>51</xdr:col>
          <xdr:colOff>333375</xdr:colOff>
          <xdr:row>13</xdr:row>
          <xdr:rowOff>95250</xdr:rowOff>
        </xdr:to>
        <xdr:sp macro="" textlink="">
          <xdr:nvSpPr>
            <xdr:cNvPr id="7172" name="Savings Check Box" hidden="1">
              <a:extLst>
                <a:ext uri="{63B3BB69-23CF-44E3-9099-C40C66FF867C}">
                  <a14:compatExt spid="_x0000_s7172"/>
                </a:ext>
                <a:ext uri="{FF2B5EF4-FFF2-40B4-BE49-F238E27FC236}">
                  <a16:creationId xmlns:a16="http://schemas.microsoft.com/office/drawing/2014/main" id="{00000000-0008-0000-03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Savings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304800</xdr:colOff>
          <xdr:row>13</xdr:row>
          <xdr:rowOff>152400</xdr:rowOff>
        </xdr:from>
        <xdr:to>
          <xdr:col>50</xdr:col>
          <xdr:colOff>990600</xdr:colOff>
          <xdr:row>14</xdr:row>
          <xdr:rowOff>104775</xdr:rowOff>
        </xdr:to>
        <xdr:sp macro="" textlink="">
          <xdr:nvSpPr>
            <xdr:cNvPr id="7171" name="Expenses Check Box"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Expenses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304800</xdr:colOff>
          <xdr:row>12</xdr:row>
          <xdr:rowOff>142875</xdr:rowOff>
        </xdr:from>
        <xdr:to>
          <xdr:col>50</xdr:col>
          <xdr:colOff>990600</xdr:colOff>
          <xdr:row>13</xdr:row>
          <xdr:rowOff>95250</xdr:rowOff>
        </xdr:to>
        <xdr:sp macro="" textlink="">
          <xdr:nvSpPr>
            <xdr:cNvPr id="7170" name="Income Check Box"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fr-FR" sz="800" b="0" i="0" u="none" strike="noStrike" baseline="0">
                  <a:solidFill>
                    <a:srgbClr val="000000"/>
                  </a:solidFill>
                  <a:latin typeface="Segoe UI"/>
                  <a:cs typeface="Segoe UI"/>
                </a:rPr>
                <a:t>Income</a:t>
              </a:r>
            </a:p>
          </xdr:txBody>
        </xdr:sp>
        <xdr:clientData/>
      </xdr:twoCellAnchor>
    </mc:Choice>
    <mc:Fallback/>
  </mc:AlternateContent>
  <xdr:twoCellAnchor>
    <xdr:from>
      <xdr:col>50</xdr:col>
      <xdr:colOff>295275</xdr:colOff>
      <xdr:row>12</xdr:row>
      <xdr:rowOff>66675</xdr:rowOff>
    </xdr:from>
    <xdr:to>
      <xdr:col>51</xdr:col>
      <xdr:colOff>405765</xdr:colOff>
      <xdr:row>14</xdr:row>
      <xdr:rowOff>188595</xdr:rowOff>
    </xdr:to>
    <xdr:sp macro="" textlink="">
      <xdr:nvSpPr>
        <xdr:cNvPr id="10" name="Rectangle 9">
          <a:extLst>
            <a:ext uri="{FF2B5EF4-FFF2-40B4-BE49-F238E27FC236}">
              <a16:creationId xmlns:a16="http://schemas.microsoft.com/office/drawing/2014/main" id="{6B92BADB-32B3-391B-64D8-5FB60593972F}"/>
            </a:ext>
          </a:extLst>
        </xdr:cNvPr>
        <xdr:cNvSpPr/>
      </xdr:nvSpPr>
      <xdr:spPr>
        <a:xfrm>
          <a:off x="19602450" y="2352675"/>
          <a:ext cx="1463040" cy="502920"/>
        </a:xfrm>
        <a:prstGeom prst="rect">
          <a:avLst/>
        </a:prstGeom>
        <a:no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0</xdr:colOff>
      <xdr:row>4</xdr:row>
      <xdr:rowOff>36641</xdr:rowOff>
    </xdr:from>
    <xdr:to>
      <xdr:col>30</xdr:col>
      <xdr:colOff>2293327</xdr:colOff>
      <xdr:row>8</xdr:row>
      <xdr:rowOff>189041</xdr:rowOff>
    </xdr:to>
    <xdr:grpSp>
      <xdr:nvGrpSpPr>
        <xdr:cNvPr id="23" name="Group 22">
          <a:extLst>
            <a:ext uri="{FF2B5EF4-FFF2-40B4-BE49-F238E27FC236}">
              <a16:creationId xmlns:a16="http://schemas.microsoft.com/office/drawing/2014/main" id="{4025E7BA-0882-A4DD-17C4-04753AA9DE37}"/>
            </a:ext>
          </a:extLst>
        </xdr:cNvPr>
        <xdr:cNvGrpSpPr/>
      </xdr:nvGrpSpPr>
      <xdr:grpSpPr>
        <a:xfrm>
          <a:off x="285750" y="798641"/>
          <a:ext cx="2293327" cy="914400"/>
          <a:chOff x="293077" y="798641"/>
          <a:chExt cx="2286000" cy="914400"/>
        </a:xfrm>
      </xdr:grpSpPr>
      <xdr:sp macro="" textlink="">
        <xdr:nvSpPr>
          <xdr:cNvPr id="12" name="Rectangle: Rounded Corners 11">
            <a:extLst>
              <a:ext uri="{FF2B5EF4-FFF2-40B4-BE49-F238E27FC236}">
                <a16:creationId xmlns:a16="http://schemas.microsoft.com/office/drawing/2014/main" id="{4EB01749-850C-CDAB-F0AD-32BD9CFC0BEE}"/>
              </a:ext>
            </a:extLst>
          </xdr:cNvPr>
          <xdr:cNvSpPr/>
        </xdr:nvSpPr>
        <xdr:spPr>
          <a:xfrm>
            <a:off x="293077" y="798641"/>
            <a:ext cx="2286000" cy="914400"/>
          </a:xfrm>
          <a:prstGeom prst="roundRect">
            <a:avLst>
              <a:gd name="adj" fmla="val 12879"/>
            </a:avLst>
          </a:prstGeom>
          <a:solidFill>
            <a:schemeClr val="bg1"/>
          </a:solidFill>
          <a:ln w="6350">
            <a:solidFill>
              <a:schemeClr val="bg1">
                <a:lumMod val="85000"/>
              </a:schemeClr>
            </a:solidFill>
          </a:ln>
          <a:effectLst>
            <a:outerShdw blurRad="825500" dist="127000" dir="5400000" sx="95000" sy="95000" algn="ctr" rotWithShape="0">
              <a:srgbClr val="000000">
                <a:alpha val="1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1440" numCol="1" spcCol="0" rtlCol="0" anchor="t"/>
          <a:lstStyle/>
          <a:p>
            <a:pPr algn="l"/>
            <a:endParaRPr lang="fr-FR" sz="1100"/>
          </a:p>
        </xdr:txBody>
      </xdr:sp>
      <xdr:sp macro="" textlink="">
        <xdr:nvSpPr>
          <xdr:cNvPr id="13" name="TextBox 12">
            <a:extLst>
              <a:ext uri="{FF2B5EF4-FFF2-40B4-BE49-F238E27FC236}">
                <a16:creationId xmlns:a16="http://schemas.microsoft.com/office/drawing/2014/main" id="{751D8620-7B8E-A2FA-09A3-5ADA1F01C66D}"/>
              </a:ext>
            </a:extLst>
          </xdr:cNvPr>
          <xdr:cNvSpPr txBox="1">
            <a:spLocks/>
          </xdr:cNvSpPr>
        </xdr:nvSpPr>
        <xdr:spPr>
          <a:xfrm>
            <a:off x="366648" y="1047209"/>
            <a:ext cx="155448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91440" numCol="1" spcCol="0" rtlCol="0" anchor="ctr"/>
          <a:lstStyle/>
          <a:p>
            <a:pPr algn="l"/>
            <a:r>
              <a:rPr lang="fr-FR" sz="1100" b="1"/>
              <a:t>Selected Year &amp; Period</a:t>
            </a:r>
          </a:p>
        </xdr:txBody>
      </xdr:sp>
      <xdr:sp macro="" textlink="Selected_Year">
        <xdr:nvSpPr>
          <xdr:cNvPr id="14" name="TextBox 13">
            <a:extLst>
              <a:ext uri="{FF2B5EF4-FFF2-40B4-BE49-F238E27FC236}">
                <a16:creationId xmlns:a16="http://schemas.microsoft.com/office/drawing/2014/main" id="{11F58035-4DA1-0030-5AF0-6C68F2A74A19}"/>
              </a:ext>
            </a:extLst>
          </xdr:cNvPr>
          <xdr:cNvSpPr txBox="1">
            <a:spLocks/>
          </xdr:cNvSpPr>
        </xdr:nvSpPr>
        <xdr:spPr>
          <a:xfrm>
            <a:off x="461895" y="1298669"/>
            <a:ext cx="640080" cy="228600"/>
          </a:xfrm>
          <a:prstGeom prst="roundRect">
            <a:avLst>
              <a:gd name="adj" fmla="val 50000"/>
            </a:avLst>
          </a:prstGeom>
          <a:solidFill>
            <a:schemeClr val="bg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0" numCol="1" spcCol="0" rtlCol="0" anchor="ctr"/>
          <a:lstStyle/>
          <a:p>
            <a:pPr algn="ctr"/>
            <a:fld id="{B2126DAE-A080-43B1-ADFF-2CF43EE6AEE7}" type="TxLink">
              <a:rPr lang="en-US" sz="1000" b="1" i="0" u="none" strike="noStrike">
                <a:solidFill>
                  <a:srgbClr val="000000"/>
                </a:solidFill>
                <a:latin typeface="Calibri"/>
                <a:ea typeface="Calibri"/>
                <a:cs typeface="Calibri"/>
              </a:rPr>
              <a:pPr algn="ctr"/>
              <a:t>2026</a:t>
            </a:fld>
            <a:endParaRPr lang="fr-FR" sz="1050" b="1" i="0" u="none" strike="noStrike">
              <a:solidFill>
                <a:srgbClr val="000000"/>
              </a:solidFill>
              <a:latin typeface="Calibri"/>
              <a:ea typeface="Calibri"/>
              <a:cs typeface="Calibri"/>
            </a:endParaRPr>
          </a:p>
        </xdr:txBody>
      </xdr:sp>
      <xdr:sp macro="" textlink="Selected_Period_Display">
        <xdr:nvSpPr>
          <xdr:cNvPr id="18" name="TextBox 17">
            <a:extLst>
              <a:ext uri="{FF2B5EF4-FFF2-40B4-BE49-F238E27FC236}">
                <a16:creationId xmlns:a16="http://schemas.microsoft.com/office/drawing/2014/main" id="{48D5A0FB-A9D9-4112-98D4-ECBEF78099C0}"/>
              </a:ext>
            </a:extLst>
          </xdr:cNvPr>
          <xdr:cNvSpPr txBox="1">
            <a:spLocks/>
          </xdr:cNvSpPr>
        </xdr:nvSpPr>
        <xdr:spPr>
          <a:xfrm>
            <a:off x="1135664" y="1298669"/>
            <a:ext cx="914400" cy="228600"/>
          </a:xfrm>
          <a:prstGeom prst="roundRect">
            <a:avLst>
              <a:gd name="adj" fmla="val 50000"/>
            </a:avLst>
          </a:prstGeom>
          <a:solidFill>
            <a:schemeClr val="bg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0" numCol="1" spcCol="0" rtlCol="0" anchor="ctr"/>
          <a:lstStyle/>
          <a:p>
            <a:pPr algn="ctr"/>
            <a:fld id="{5830B5AB-B0D1-4C25-9B6A-9CAAACE2DFF0}" type="TxLink">
              <a:rPr lang="en-US" sz="1000" b="1" i="0" u="none" strike="noStrike">
                <a:solidFill>
                  <a:srgbClr val="000000"/>
                </a:solidFill>
                <a:latin typeface="Calibri"/>
                <a:ea typeface="Calibri"/>
                <a:cs typeface="Calibri"/>
              </a:rPr>
              <a:pPr algn="ctr"/>
              <a:t>January</a:t>
            </a:fld>
            <a:endParaRPr lang="fr-FR" sz="900" b="1" i="0" u="none" strike="noStrike">
              <a:solidFill>
                <a:srgbClr val="000000"/>
              </a:solidFill>
              <a:latin typeface="Calibri"/>
              <a:ea typeface="Calibri"/>
              <a:cs typeface="Calibri"/>
            </a:endParaRPr>
          </a:p>
        </xdr:txBody>
      </xdr:sp>
    </xdr:grpSp>
    <xdr:clientData/>
  </xdr:twoCellAnchor>
  <xdr:twoCellAnchor>
    <xdr:from>
      <xdr:col>31</xdr:col>
      <xdr:colOff>225141</xdr:colOff>
      <xdr:row>4</xdr:row>
      <xdr:rowOff>36641</xdr:rowOff>
    </xdr:from>
    <xdr:to>
      <xdr:col>32</xdr:col>
      <xdr:colOff>461361</xdr:colOff>
      <xdr:row>8</xdr:row>
      <xdr:rowOff>189041</xdr:rowOff>
    </xdr:to>
    <xdr:grpSp>
      <xdr:nvGrpSpPr>
        <xdr:cNvPr id="31" name="Group 30">
          <a:extLst>
            <a:ext uri="{FF2B5EF4-FFF2-40B4-BE49-F238E27FC236}">
              <a16:creationId xmlns:a16="http://schemas.microsoft.com/office/drawing/2014/main" id="{65303D4E-A910-A73D-716E-D00CFBDA3EA8}"/>
            </a:ext>
          </a:extLst>
        </xdr:cNvPr>
        <xdr:cNvGrpSpPr/>
      </xdr:nvGrpSpPr>
      <xdr:grpSpPr>
        <a:xfrm>
          <a:off x="2892141" y="798641"/>
          <a:ext cx="1188720" cy="914400"/>
          <a:chOff x="2844362" y="798641"/>
          <a:chExt cx="1188720" cy="914400"/>
        </a:xfrm>
      </xdr:grpSpPr>
      <xdr:sp macro="" textlink="">
        <xdr:nvSpPr>
          <xdr:cNvPr id="20" name="Rectangle: Rounded Corners 19">
            <a:extLst>
              <a:ext uri="{FF2B5EF4-FFF2-40B4-BE49-F238E27FC236}">
                <a16:creationId xmlns:a16="http://schemas.microsoft.com/office/drawing/2014/main" id="{142E8FB8-0E80-1693-7936-D039C3A9CEFD}"/>
              </a:ext>
            </a:extLst>
          </xdr:cNvPr>
          <xdr:cNvSpPr/>
        </xdr:nvSpPr>
        <xdr:spPr>
          <a:xfrm>
            <a:off x="2844362" y="798641"/>
            <a:ext cx="1188720" cy="914400"/>
          </a:xfrm>
          <a:prstGeom prst="roundRect">
            <a:avLst>
              <a:gd name="adj" fmla="val 12879"/>
            </a:avLst>
          </a:prstGeom>
          <a:solidFill>
            <a:schemeClr val="bg1"/>
          </a:solidFill>
          <a:ln w="6350">
            <a:solidFill>
              <a:schemeClr val="bg1">
                <a:lumMod val="85000"/>
              </a:schemeClr>
            </a:solidFill>
          </a:ln>
          <a:effectLst>
            <a:outerShdw blurRad="825500" dist="127000" dir="5400000" sx="95000" sy="95000" algn="ctr" rotWithShape="0">
              <a:srgbClr val="000000">
                <a:alpha val="1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1440" numCol="1" spcCol="0" rtlCol="0" anchor="t"/>
          <a:lstStyle/>
          <a:p>
            <a:pPr algn="l"/>
            <a:endParaRPr lang="fr-FR" sz="1100"/>
          </a:p>
        </xdr:txBody>
      </xdr:sp>
      <xdr:sp macro="" textlink="">
        <xdr:nvSpPr>
          <xdr:cNvPr id="21" name="TextBox 20">
            <a:extLst>
              <a:ext uri="{FF2B5EF4-FFF2-40B4-BE49-F238E27FC236}">
                <a16:creationId xmlns:a16="http://schemas.microsoft.com/office/drawing/2014/main" id="{6010403B-28F7-6DEC-8ED3-6EEAA9FF112C}"/>
              </a:ext>
            </a:extLst>
          </xdr:cNvPr>
          <xdr:cNvSpPr txBox="1">
            <a:spLocks/>
          </xdr:cNvSpPr>
        </xdr:nvSpPr>
        <xdr:spPr>
          <a:xfrm>
            <a:off x="2928619" y="1047209"/>
            <a:ext cx="1020206"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91440" numCol="1" spcCol="0" rtlCol="0" anchor="ctr"/>
          <a:lstStyle/>
          <a:p>
            <a:pPr algn="ctr"/>
            <a:r>
              <a:rPr lang="fr-FR" sz="1100" b="1"/>
              <a:t>Period Compl.</a:t>
            </a:r>
          </a:p>
        </xdr:txBody>
      </xdr:sp>
      <xdr:graphicFrame macro="">
        <xdr:nvGraphicFramePr>
          <xdr:cNvPr id="24" name="Chart 23">
            <a:extLst>
              <a:ext uri="{FF2B5EF4-FFF2-40B4-BE49-F238E27FC236}">
                <a16:creationId xmlns:a16="http://schemas.microsoft.com/office/drawing/2014/main" id="{76D34C7C-6326-4B2D-AD58-F35399BA9191}"/>
              </a:ext>
            </a:extLst>
          </xdr:cNvPr>
          <xdr:cNvGraphicFramePr>
            <a:graphicFrameLocks/>
          </xdr:cNvGraphicFramePr>
        </xdr:nvGraphicFramePr>
        <xdr:xfrm>
          <a:off x="2884507" y="1134716"/>
          <a:ext cx="1108430" cy="455543"/>
        </xdr:xfrm>
        <a:graphic>
          <a:graphicData uri="http://schemas.openxmlformats.org/drawingml/2006/chart">
            <c:chart xmlns:c="http://schemas.openxmlformats.org/drawingml/2006/chart" xmlns:r="http://schemas.openxmlformats.org/officeDocument/2006/relationships" r:id="rId5"/>
          </a:graphicData>
        </a:graphic>
      </xdr:graphicFrame>
      <xdr:sp macro="" textlink="Calculations!E28">
        <xdr:nvSpPr>
          <xdr:cNvPr id="22" name="TextBox 21">
            <a:extLst>
              <a:ext uri="{FF2B5EF4-FFF2-40B4-BE49-F238E27FC236}">
                <a16:creationId xmlns:a16="http://schemas.microsoft.com/office/drawing/2014/main" id="{6B5CA682-2676-9468-69B7-62E5B44209DC}"/>
              </a:ext>
            </a:extLst>
          </xdr:cNvPr>
          <xdr:cNvSpPr txBox="1">
            <a:spLocks/>
          </xdr:cNvSpPr>
        </xdr:nvSpPr>
        <xdr:spPr>
          <a:xfrm>
            <a:off x="3210122" y="1293907"/>
            <a:ext cx="45720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91440" numCol="1" spcCol="0" rtlCol="0" anchor="ctr"/>
          <a:lstStyle/>
          <a:p>
            <a:pPr algn="ctr"/>
            <a:fld id="{BF38F272-6C26-42DE-8ADE-14D31116DE1D}" type="TxLink">
              <a:rPr lang="en-US" sz="1200" b="1" i="0" u="none" strike="noStrike">
                <a:solidFill>
                  <a:srgbClr val="000000"/>
                </a:solidFill>
                <a:latin typeface="Calibri"/>
                <a:ea typeface="Calibri"/>
                <a:cs typeface="Calibri"/>
              </a:rPr>
              <a:pPr algn="ctr"/>
              <a:t>61%</a:t>
            </a:fld>
            <a:endParaRPr lang="fr-FR" sz="1400" b="1"/>
          </a:p>
        </xdr:txBody>
      </xdr:sp>
    </xdr:grpSp>
    <xdr:clientData/>
  </xdr:twoCellAnchor>
  <xdr:twoCellAnchor editAs="absolute">
    <xdr:from>
      <xdr:col>32</xdr:col>
      <xdr:colOff>778565</xdr:colOff>
      <xdr:row>4</xdr:row>
      <xdr:rowOff>36641</xdr:rowOff>
    </xdr:from>
    <xdr:to>
      <xdr:col>36</xdr:col>
      <xdr:colOff>231884</xdr:colOff>
      <xdr:row>8</xdr:row>
      <xdr:rowOff>189041</xdr:rowOff>
    </xdr:to>
    <xdr:grpSp>
      <xdr:nvGrpSpPr>
        <xdr:cNvPr id="25" name="Total Tracking Balance $ Group">
          <a:extLst>
            <a:ext uri="{FF2B5EF4-FFF2-40B4-BE49-F238E27FC236}">
              <a16:creationId xmlns:a16="http://schemas.microsoft.com/office/drawing/2014/main" id="{185F1A2C-BB2C-4840-8109-C6E935010630}"/>
            </a:ext>
          </a:extLst>
        </xdr:cNvPr>
        <xdr:cNvGrpSpPr/>
      </xdr:nvGrpSpPr>
      <xdr:grpSpPr>
        <a:xfrm>
          <a:off x="4398065" y="798641"/>
          <a:ext cx="3025194" cy="914400"/>
          <a:chOff x="4476190" y="791380"/>
          <a:chExt cx="3025803" cy="914400"/>
        </a:xfrm>
      </xdr:grpSpPr>
      <xdr:sp macro="" textlink="">
        <xdr:nvSpPr>
          <xdr:cNvPr id="26" name="Rectangle: Rounded Corners 25">
            <a:extLst>
              <a:ext uri="{FF2B5EF4-FFF2-40B4-BE49-F238E27FC236}">
                <a16:creationId xmlns:a16="http://schemas.microsoft.com/office/drawing/2014/main" id="{D057CC18-F20D-42C0-05FD-63083CE6589D}"/>
              </a:ext>
            </a:extLst>
          </xdr:cNvPr>
          <xdr:cNvSpPr/>
        </xdr:nvSpPr>
        <xdr:spPr>
          <a:xfrm>
            <a:off x="4476190" y="791380"/>
            <a:ext cx="3025803" cy="914400"/>
          </a:xfrm>
          <a:prstGeom prst="roundRect">
            <a:avLst>
              <a:gd name="adj" fmla="val 12879"/>
            </a:avLst>
          </a:prstGeom>
          <a:solidFill>
            <a:schemeClr val="bg1"/>
          </a:solidFill>
          <a:ln w="6350">
            <a:solidFill>
              <a:schemeClr val="bg1">
                <a:lumMod val="85000"/>
              </a:schemeClr>
            </a:solidFill>
          </a:ln>
          <a:effectLst>
            <a:outerShdw blurRad="825500" dist="127000" dir="5400000" sx="95000" sy="95000" algn="ctr" rotWithShape="0">
              <a:srgbClr val="000000">
                <a:alpha val="1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7" name="TextBox 26">
            <a:extLst>
              <a:ext uri="{FF2B5EF4-FFF2-40B4-BE49-F238E27FC236}">
                <a16:creationId xmlns:a16="http://schemas.microsoft.com/office/drawing/2014/main" id="{51811A6D-4495-8A2D-E205-267073AF5C9C}"/>
              </a:ext>
            </a:extLst>
          </xdr:cNvPr>
          <xdr:cNvSpPr txBox="1">
            <a:spLocks/>
          </xdr:cNvSpPr>
        </xdr:nvSpPr>
        <xdr:spPr>
          <a:xfrm>
            <a:off x="4549762" y="1039948"/>
            <a:ext cx="169314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100" b="1" baseline="0">
                <a:solidFill>
                  <a:sysClr val="windowText" lastClr="000000"/>
                </a:solidFill>
                <a:latin typeface="+mn-lt"/>
              </a:rPr>
              <a:t>Period Tracking Balance $</a:t>
            </a:r>
            <a:endParaRPr lang="fr-FR" sz="1100" b="1">
              <a:solidFill>
                <a:sysClr val="windowText" lastClr="000000"/>
              </a:solidFill>
              <a:latin typeface="+mn-lt"/>
            </a:endParaRPr>
          </a:p>
        </xdr:txBody>
      </xdr:sp>
      <xdr:sp macro="" textlink="Calculations!E29">
        <xdr:nvSpPr>
          <xdr:cNvPr id="28" name="TextBox 27">
            <a:extLst>
              <a:ext uri="{FF2B5EF4-FFF2-40B4-BE49-F238E27FC236}">
                <a16:creationId xmlns:a16="http://schemas.microsoft.com/office/drawing/2014/main" id="{0825CD2A-68C8-177D-2E56-FADDA9620142}"/>
              </a:ext>
            </a:extLst>
          </xdr:cNvPr>
          <xdr:cNvSpPr txBox="1">
            <a:spLocks/>
          </xdr:cNvSpPr>
        </xdr:nvSpPr>
        <xdr:spPr>
          <a:xfrm>
            <a:off x="4549762" y="1287598"/>
            <a:ext cx="73152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67AAC83-CF8A-4C4D-8818-7E78142773CB}" type="TxLink">
              <a:rPr lang="en-US" sz="1100" b="1" i="0" u="none" strike="noStrike">
                <a:solidFill>
                  <a:srgbClr val="000000"/>
                </a:solidFill>
                <a:latin typeface="Calibri"/>
                <a:ea typeface="Calibri"/>
                <a:cs typeface="Calibri"/>
              </a:rPr>
              <a:pPr algn="l"/>
              <a:t> (566.50)</a:t>
            </a:fld>
            <a:endParaRPr lang="fr-FR" sz="1600" b="1"/>
          </a:p>
        </xdr:txBody>
      </xdr:sp>
      <xdr:sp macro="" textlink="Calculations!E30">
        <xdr:nvSpPr>
          <xdr:cNvPr id="29" name="TextBox 28">
            <a:extLst>
              <a:ext uri="{FF2B5EF4-FFF2-40B4-BE49-F238E27FC236}">
                <a16:creationId xmlns:a16="http://schemas.microsoft.com/office/drawing/2014/main" id="{15FA87A8-8984-4B57-C31D-19CDCEFD866B}"/>
              </a:ext>
            </a:extLst>
          </xdr:cNvPr>
          <xdr:cNvSpPr txBox="1">
            <a:spLocks/>
          </xdr:cNvSpPr>
        </xdr:nvSpPr>
        <xdr:spPr>
          <a:xfrm>
            <a:off x="5244101" y="1287598"/>
            <a:ext cx="2248563"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FD31D11-5191-4EF6-ABD1-82A0FBB0E2CF}" type="TxLink">
              <a:rPr lang="en-US" sz="1050" b="0" i="0" u="none" strike="noStrike">
                <a:solidFill>
                  <a:srgbClr val="000000"/>
                </a:solidFill>
                <a:latin typeface="Calibri"/>
                <a:ea typeface="Calibri"/>
                <a:cs typeface="Calibri"/>
              </a:rPr>
              <a:pPr algn="l"/>
              <a:t>allocated not covered by income</a:t>
            </a:fld>
            <a:endParaRPr lang="en-US" sz="1050" b="0" i="0" u="none" strike="noStrike">
              <a:solidFill>
                <a:srgbClr val="000000"/>
              </a:solidFill>
              <a:latin typeface="Calibri"/>
              <a:ea typeface="Calibri"/>
              <a:cs typeface="Calibri"/>
            </a:endParaRPr>
          </a:p>
        </xdr:txBody>
      </xdr:sp>
    </xdr:grpSp>
    <xdr:clientData/>
  </xdr:twoCellAnchor>
  <xdr:twoCellAnchor editAs="absolute">
    <xdr:from>
      <xdr:col>36</xdr:col>
      <xdr:colOff>649349</xdr:colOff>
      <xdr:row>4</xdr:row>
      <xdr:rowOff>36641</xdr:rowOff>
    </xdr:from>
    <xdr:to>
      <xdr:col>40</xdr:col>
      <xdr:colOff>193776</xdr:colOff>
      <xdr:row>8</xdr:row>
      <xdr:rowOff>189041</xdr:rowOff>
    </xdr:to>
    <xdr:sp macro="" textlink="">
      <xdr:nvSpPr>
        <xdr:cNvPr id="33" name="Rectangle: Rounded Corners 32">
          <a:extLst>
            <a:ext uri="{FF2B5EF4-FFF2-40B4-BE49-F238E27FC236}">
              <a16:creationId xmlns:a16="http://schemas.microsoft.com/office/drawing/2014/main" id="{55D09505-21E5-1F07-D532-F1E36742C12D}"/>
            </a:ext>
          </a:extLst>
        </xdr:cNvPr>
        <xdr:cNvSpPr/>
      </xdr:nvSpPr>
      <xdr:spPr>
        <a:xfrm>
          <a:off x="7838653" y="798641"/>
          <a:ext cx="3023123" cy="914400"/>
        </a:xfrm>
        <a:prstGeom prst="roundRect">
          <a:avLst>
            <a:gd name="adj" fmla="val 12879"/>
          </a:avLst>
        </a:prstGeom>
        <a:solidFill>
          <a:schemeClr val="bg1"/>
        </a:solidFill>
        <a:ln w="6350">
          <a:solidFill>
            <a:schemeClr val="bg1">
              <a:lumMod val="85000"/>
            </a:schemeClr>
          </a:solidFill>
        </a:ln>
        <a:effectLst>
          <a:outerShdw blurRad="825500" dist="127000" dir="5400000" sx="95000" sy="95000" algn="ctr" rotWithShape="0">
            <a:srgbClr val="000000">
              <a:alpha val="15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36</xdr:col>
      <xdr:colOff>722856</xdr:colOff>
      <xdr:row>5</xdr:row>
      <xdr:rowOff>94709</xdr:rowOff>
    </xdr:from>
    <xdr:to>
      <xdr:col>39</xdr:col>
      <xdr:colOff>810350</xdr:colOff>
      <xdr:row>7</xdr:row>
      <xdr:rowOff>98519</xdr:rowOff>
    </xdr:to>
    <xdr:grpSp>
      <xdr:nvGrpSpPr>
        <xdr:cNvPr id="38" name="Group 37">
          <a:extLst>
            <a:ext uri="{FF2B5EF4-FFF2-40B4-BE49-F238E27FC236}">
              <a16:creationId xmlns:a16="http://schemas.microsoft.com/office/drawing/2014/main" id="{D39E3A5B-2F25-3F8D-927F-3B1B6E8AE1F9}"/>
            </a:ext>
          </a:extLst>
        </xdr:cNvPr>
        <xdr:cNvGrpSpPr/>
      </xdr:nvGrpSpPr>
      <xdr:grpSpPr>
        <a:xfrm>
          <a:off x="7914231" y="1047209"/>
          <a:ext cx="2373494" cy="384810"/>
          <a:chOff x="7912160" y="1047209"/>
          <a:chExt cx="2373494" cy="384810"/>
        </a:xfrm>
      </xdr:grpSpPr>
      <xdr:sp macro="" textlink="">
        <xdr:nvSpPr>
          <xdr:cNvPr id="34" name="TextBox 33">
            <a:extLst>
              <a:ext uri="{FF2B5EF4-FFF2-40B4-BE49-F238E27FC236}">
                <a16:creationId xmlns:a16="http://schemas.microsoft.com/office/drawing/2014/main" id="{0A4DF060-15C5-9357-8E5E-F1A89853A767}"/>
              </a:ext>
            </a:extLst>
          </xdr:cNvPr>
          <xdr:cNvSpPr txBox="1">
            <a:spLocks/>
          </xdr:cNvSpPr>
        </xdr:nvSpPr>
        <xdr:spPr>
          <a:xfrm>
            <a:off x="7912160" y="1047209"/>
            <a:ext cx="169164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fr-FR" sz="1100" b="1" baseline="0">
                <a:solidFill>
                  <a:sysClr val="windowText" lastClr="000000"/>
                </a:solidFill>
                <a:latin typeface="+mn-lt"/>
              </a:rPr>
              <a:t>Period Savings Rate</a:t>
            </a:r>
            <a:endParaRPr lang="fr-FR" sz="1100" b="1">
              <a:solidFill>
                <a:sysClr val="windowText" lastClr="000000"/>
              </a:solidFill>
              <a:latin typeface="+mn-lt"/>
            </a:endParaRPr>
          </a:p>
        </xdr:txBody>
      </xdr:sp>
      <xdr:sp macro="" textlink="Calculations!E31">
        <xdr:nvSpPr>
          <xdr:cNvPr id="35" name="TextBox 34">
            <a:extLst>
              <a:ext uri="{FF2B5EF4-FFF2-40B4-BE49-F238E27FC236}">
                <a16:creationId xmlns:a16="http://schemas.microsoft.com/office/drawing/2014/main" id="{80F6BBEA-F2E9-A7A3-1E53-D9E7A7E4EC04}"/>
              </a:ext>
            </a:extLst>
          </xdr:cNvPr>
          <xdr:cNvSpPr txBox="1">
            <a:spLocks/>
          </xdr:cNvSpPr>
        </xdr:nvSpPr>
        <xdr:spPr>
          <a:xfrm>
            <a:off x="8870307" y="1294859"/>
            <a:ext cx="54864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FA51B74-2F37-4425-BC19-D9C0B62D413C}" type="TxLink">
              <a:rPr lang="en-US" sz="1200" b="1" i="0" u="none" strike="noStrike">
                <a:solidFill>
                  <a:srgbClr val="0000FF"/>
                </a:solidFill>
                <a:latin typeface="Calibri"/>
                <a:ea typeface="Calibri"/>
                <a:cs typeface="Calibri"/>
              </a:rPr>
              <a:pPr algn="l"/>
              <a:t>#VALUE!</a:t>
            </a:fld>
            <a:endParaRPr lang="fr-FR" sz="1800" b="1">
              <a:solidFill>
                <a:srgbClr val="0000FF"/>
              </a:solidFill>
            </a:endParaRPr>
          </a:p>
        </xdr:txBody>
      </xdr:sp>
      <xdr:sp macro="" textlink="">
        <xdr:nvSpPr>
          <xdr:cNvPr id="36" name="TextBox 35">
            <a:extLst>
              <a:ext uri="{FF2B5EF4-FFF2-40B4-BE49-F238E27FC236}">
                <a16:creationId xmlns:a16="http://schemas.microsoft.com/office/drawing/2014/main" id="{9428F2A3-A8C6-445D-8926-A49F3733307C}"/>
              </a:ext>
            </a:extLst>
          </xdr:cNvPr>
          <xdr:cNvSpPr txBox="1">
            <a:spLocks/>
          </xdr:cNvSpPr>
        </xdr:nvSpPr>
        <xdr:spPr>
          <a:xfrm>
            <a:off x="7912160" y="1294859"/>
            <a:ext cx="109728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rgbClr val="000000"/>
                </a:solidFill>
                <a:latin typeface="Calibri"/>
                <a:ea typeface="Calibri"/>
                <a:cs typeface="Calibri"/>
              </a:rPr>
              <a:t>Your are</a:t>
            </a:r>
            <a:r>
              <a:rPr lang="en-US" sz="1050" b="0" i="0" u="none" strike="noStrike" baseline="0">
                <a:solidFill>
                  <a:srgbClr val="000000"/>
                </a:solidFill>
                <a:latin typeface="Calibri"/>
                <a:ea typeface="Calibri"/>
                <a:cs typeface="Calibri"/>
              </a:rPr>
              <a:t> saving</a:t>
            </a:r>
            <a:endParaRPr lang="en-US" sz="1050" b="0" i="0" u="none" strike="noStrike">
              <a:solidFill>
                <a:srgbClr val="000000"/>
              </a:solidFill>
              <a:latin typeface="Calibri"/>
              <a:ea typeface="Calibri"/>
              <a:cs typeface="Calibri"/>
            </a:endParaRPr>
          </a:p>
        </xdr:txBody>
      </xdr:sp>
      <xdr:sp macro="" textlink="">
        <xdr:nvSpPr>
          <xdr:cNvPr id="37" name="TextBox 36">
            <a:extLst>
              <a:ext uri="{FF2B5EF4-FFF2-40B4-BE49-F238E27FC236}">
                <a16:creationId xmlns:a16="http://schemas.microsoft.com/office/drawing/2014/main" id="{552F4D56-E01D-45F8-ABC1-AD15D6F96EFD}"/>
              </a:ext>
            </a:extLst>
          </xdr:cNvPr>
          <xdr:cNvSpPr txBox="1">
            <a:spLocks/>
          </xdr:cNvSpPr>
        </xdr:nvSpPr>
        <xdr:spPr>
          <a:xfrm>
            <a:off x="9279814" y="1294859"/>
            <a:ext cx="1005840"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rgbClr val="000000"/>
                </a:solidFill>
                <a:latin typeface="Calibri"/>
                <a:ea typeface="Calibri"/>
                <a:cs typeface="Calibri"/>
              </a:rPr>
              <a:t>of your</a:t>
            </a:r>
            <a:r>
              <a:rPr lang="en-US" sz="1050" b="0" i="0" u="none" strike="noStrike" baseline="0">
                <a:solidFill>
                  <a:srgbClr val="000000"/>
                </a:solidFill>
                <a:latin typeface="Calibri"/>
                <a:ea typeface="Calibri"/>
                <a:cs typeface="Calibri"/>
              </a:rPr>
              <a:t> income</a:t>
            </a:r>
            <a:endParaRPr lang="en-US" sz="1050" b="0" i="0" u="none" strike="noStrike">
              <a:solidFill>
                <a:srgbClr val="000000"/>
              </a:solidFill>
              <a:latin typeface="Calibri"/>
              <a:ea typeface="Calibri"/>
              <a:cs typeface="Calibri"/>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DFEC60-0F98-4E31-80FB-7221DF9E82B0}" name="Income" displayName="Income" ref="C9:C12" totalsRowShown="0" headerRowDxfId="110" dataDxfId="109">
  <autoFilter ref="C9:C12" xr:uid="{51DFEC60-0F98-4E31-80FB-7221DF9E82B0}">
    <filterColumn colId="0" hiddenButton="1"/>
  </autoFilter>
  <tableColumns count="1">
    <tableColumn id="1" xr3:uid="{38D0329F-22DE-45B1-B9D2-BB68F23870D4}" name="Income" dataDxfId="108"/>
  </tableColumns>
  <tableStyleInfo name="Income Table 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C7A549-756E-4C3E-9208-B51D8EE9C903}" name="Expenses" displayName="Expenses" ref="C22:C43" totalsRowShown="0" headerRowDxfId="107" dataDxfId="106">
  <autoFilter ref="C22:C43" xr:uid="{52C7A549-756E-4C3E-9208-B51D8EE9C903}">
    <filterColumn colId="0" hiddenButton="1"/>
  </autoFilter>
  <tableColumns count="1">
    <tableColumn id="1" xr3:uid="{C136AF49-14CA-4795-8888-D267266A6575}" name="Expenses" dataDxfId="105"/>
  </tableColumns>
  <tableStyleInfo name="Expenses Table Sty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79D7FB4-4BA1-477D-8825-B42FD50B7054}" name="Savings" displayName="Savings" ref="C70:C71" totalsRowShown="0" headerRowDxfId="104" dataDxfId="103">
  <autoFilter ref="C70:C71" xr:uid="{979D7FB4-4BA1-477D-8825-B42FD50B7054}">
    <filterColumn colId="0" hiddenButton="1"/>
  </autoFilter>
  <tableColumns count="1">
    <tableColumn id="1" xr3:uid="{592177DC-EB59-4B80-8DCD-BD853D7F5501}" name="Savings" dataDxfId="102"/>
  </tableColumns>
  <tableStyleInfo name="Savings Table Sty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24C37EE-AA77-4C08-956C-FB70AE8105C0}" name="Tracking" displayName="Tracking" ref="C11:O133" totalsRowShown="0" headerRowDxfId="96" dataDxfId="95">
  <autoFilter ref="C11:O133" xr:uid="{524C37EE-AA77-4C08-956C-FB70AE8105C0}">
    <filterColumn colId="0">
      <filters>
        <dateGroupItem year="2026" dateTimeGrouping="year"/>
      </filters>
    </filterColumn>
  </autoFilter>
  <tableColumns count="13">
    <tableColumn id="1" xr3:uid="{C005708E-3F3A-408A-BE9D-26A16287F58F}" name="Date" dataDxfId="94"/>
    <tableColumn id="15" xr3:uid="{2F4F797D-7B11-4E80-AA38-195E607EDC78}" name="Payment Type" dataDxfId="93"/>
    <tableColumn id="2" xr3:uid="{9913CC82-6A5F-4CC0-A9F7-CE7AE9E297D5}" name="Type" dataDxfId="92"/>
    <tableColumn id="3" xr3:uid="{D456149F-DD63-4A7B-B55F-A15E628156C4}" name="Category" dataDxfId="91"/>
    <tableColumn id="4" xr3:uid="{90ED3F89-2CF0-4BF9-A551-F0C53610DF74}" name="Sub-Category" dataDxfId="90"/>
    <tableColumn id="5" xr3:uid="{34816C0F-8516-4E10-B3AB-2D35A2EBD8D7}" name="Amount $" dataDxfId="89" dataCellStyle="Currency"/>
    <tableColumn id="6" xr3:uid="{AD597399-CE58-47CC-9E66-42D2AE3AE179}" name="Amount LBP" dataDxfId="88" dataCellStyle="Comma"/>
    <tableColumn id="7" xr3:uid="{230F0D41-6147-4278-804F-D48FE74609F8}" name="Amount €" dataDxfId="87" dataCellStyle="Currency"/>
    <tableColumn id="8" xr3:uid="{CEA7E540-B6B6-4E45-B75D-23CAE915B5C7}" name="Details" dataDxfId="86"/>
    <tableColumn id="9" xr3:uid="{7473FD63-4001-42A9-991A-58E29E8951F7}" name="Balance $" dataDxfId="85" dataCellStyle="Comma">
      <calculatedColumnFormula array="1">SUMPRODUCT(Tracking[Amount $],--(Tracking[Date]&lt;=Tracking[[#This Row],[Date]]),(Tracking[Type]&lt;&gt;"Income") * (-1) + (Tracking[Type]="Income"), --(Tracking[Payment Type] = "Cash"))</calculatedColumnFormula>
    </tableColumn>
    <tableColumn id="10" xr3:uid="{82326AE6-10AF-4909-ACFE-D424DAAEB20C}" name="Balance LBP" dataDxfId="84" dataCellStyle="Comma">
      <calculatedColumnFormula array="1">SUMPRODUCT(Tracking[Amount LBP],--(Tracking[Date]&lt;=Tracking[[#This Row],[Date]]),(Tracking[Type]&lt;&gt;"Income") * (-1) + (Tracking[Type]="Income"), --(Tracking[Payment Type] = "Cash"))</calculatedColumnFormula>
    </tableColumn>
    <tableColumn id="11" xr3:uid="{25ACBDBC-BEBE-4778-BE9D-1BB1218A920D}" name="Balance €" dataDxfId="83" dataCellStyle="Comma">
      <calculatedColumnFormula array="1">SUMPRODUCT(Tracking[Amount €],--(Tracking[Date]&lt;=Tracking[[#This Row],[Date]]),(Tracking[Type]&lt;&gt;"Income") * (-1) + (Tracking[Type]="Income"), --(Tracking[Payment Type] = "Cash"))</calculatedColumnFormula>
    </tableColumn>
    <tableColumn id="12" xr3:uid="{208FC7C9-3643-4CEA-BDA4-8CD46CE88DFC}" name="Effective Date" dataDxfId="82">
      <calculatedColumnFormula array="1">IF(AND(Tracking[[#This Row],[Type]]="Income", Shift_Late_Income_Status="Active", DAY(Tracking[[#This Row],[Date]])&gt;=Shift_Late_Income_Starting_Day),
DATE(YEAR(Tracking[[#This Row],[Date]]), MONTH(Tracking[[#This Row],[Date]])+1, 1),
Tracking[[#This Row],[Date]])</calculatedColumnFormula>
    </tableColumn>
  </tableColumns>
  <tableStyleInfo name="Tracking Table Sty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A8C5A03-BC17-45E1-B654-B0ADF68AF5DE}" name="Transportation" displayName="Transportation" ref="K4:K7" totalsRowShown="0" headerRowDxfId="56" dataDxfId="55">
  <autoFilter ref="K4:K7" xr:uid="{0A8C5A03-BC17-45E1-B654-B0ADF68AF5DE}"/>
  <tableColumns count="1">
    <tableColumn id="1" xr3:uid="{927A34B7-2A83-4FEF-9AD8-2CBF0A40B29F}" name="Transportation " dataDxfId="5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21D2636-C49F-441C-982F-6F1AD1E608BA}" name="Electronics" displayName="Electronics" ref="O16:O22" totalsRowShown="0" headerRowDxfId="53" headerRowBorderDxfId="52" tableBorderDxfId="51">
  <autoFilter ref="O16:O22" xr:uid="{021D2636-C49F-441C-982F-6F1AD1E608BA}"/>
  <tableColumns count="1">
    <tableColumn id="1" xr3:uid="{32A8F65D-465F-4E53-A51A-A96F6E999EC8}" name="Electronic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244C118-C68F-46A6-8A26-E67CD5B2EA7C}" name="Entertainment" displayName="Entertainment" ref="K31:K38" totalsRowShown="0" headerRowDxfId="50" headerRowBorderDxfId="49" tableBorderDxfId="48">
  <autoFilter ref="K31:K38" xr:uid="{1244C118-C68F-46A6-8A26-E67CD5B2EA7C}"/>
  <tableColumns count="1">
    <tableColumn id="1" xr3:uid="{462A7C85-DC21-4C6C-8364-F453CECCB5EE}" name="Entertainme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5FE950-0275-4463-8E91-4C427908EBD2}" name="Health" displayName="Health" ref="S4:S16" totalsRowShown="0" headerRowDxfId="47" headerRowBorderDxfId="46" tableBorderDxfId="45">
  <autoFilter ref="S4:S16" xr:uid="{7D5FE950-0275-4463-8E91-4C427908EBD2}"/>
  <tableColumns count="1">
    <tableColumn id="1" xr3:uid="{8B0A5304-424C-407E-A916-74DF754F56A1}" name="Health"/>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D4CAA6A-54CB-49AB-A672-34D1F9F8B850}" name="Self_Improvement" displayName="Self_Improvement" ref="O4:O5" totalsRowShown="0" headerRowDxfId="44" headerRowBorderDxfId="43" tableBorderDxfId="42">
  <autoFilter ref="O4:O5" xr:uid="{1D4CAA6A-54CB-49AB-A672-34D1F9F8B850}"/>
  <tableColumns count="1">
    <tableColumn id="1" xr3:uid="{61188266-36F9-4CF1-9034-F836822B3840}" name="Self-Improveme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418DE3B-E66B-4902-8148-DE4B2F897EF2}" name="Utilities" displayName="Utilities" ref="K20:K28" totalsRowShown="0" headerRowDxfId="41" headerRowBorderDxfId="40">
  <autoFilter ref="K20:K28" xr:uid="{C418DE3B-E66B-4902-8148-DE4B2F897EF2}"/>
  <tableColumns count="1">
    <tableColumn id="1" xr3:uid="{9566DEE5-5391-4F01-AE82-DF2D83A9A9F2}" name="Utiliti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44AA5C9-7D28-4402-BFB4-AA3908024030}" name="Dining_Out" displayName="Dining_Out" ref="I4:I61" totalsRowShown="0" headerRowDxfId="39" headerRowBorderDxfId="38" tableBorderDxfId="37">
  <autoFilter ref="I4:I61" xr:uid="{D44AA5C9-7D28-4402-BFB4-AA3908024030}"/>
  <tableColumns count="1">
    <tableColumn id="1" xr3:uid="{7256CB55-E058-4543-B87B-E5347F106D58}" name="Dining Out"/>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577447A-D1F8-4783-B7E8-480BE5937A20}" name="Groceries" displayName="Groceries" ref="G4:G34" totalsRowShown="0" headerRowDxfId="36" headerRowBorderDxfId="35" tableBorderDxfId="34">
  <autoFilter ref="G4:G34" xr:uid="{C577447A-D1F8-4783-B7E8-480BE5937A20}"/>
  <tableColumns count="1">
    <tableColumn id="1" xr3:uid="{3DDF0D20-256A-468E-A0B3-906A76E2906C}" name="Groceri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639481A-AA06-45F7-B042-5DEC2BDF49CF}" name="Car_Maintenance_Opel" displayName="Car_Maintenance_Opel" ref="Q4:Q9" totalsRowShown="0" headerRowDxfId="33" headerRowBorderDxfId="32" tableBorderDxfId="31">
  <autoFilter ref="Q4:Q9" xr:uid="{7639481A-AA06-45F7-B042-5DEC2BDF49CF}"/>
  <tableColumns count="1">
    <tableColumn id="1" xr3:uid="{BF3BA715-4E35-427D-B065-B6061496B4E7}" name="Car Maintenance (Opel)"/>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1899EB0-7054-4249-9225-415AEA278008}" name="Car_Maintenance_Mazda" displayName="Car_Maintenance_Mazda" ref="O8:O13" totalsRowShown="0" headerRowDxfId="30" headerRowBorderDxfId="29" tableBorderDxfId="28">
  <autoFilter ref="O8:O13" xr:uid="{41899EB0-7054-4249-9225-415AEA278008}"/>
  <tableColumns count="1">
    <tableColumn id="1" xr3:uid="{5559EE30-49F5-4C59-9469-25EC0D804396}" name="Car Maintenance (Mazda)"/>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DE7586D-2549-4596-BFE3-C94FEB4F1F8A}" name="Home_Items" displayName="Home_Items" ref="Q12:Q14" totalsRowShown="0" headerRowDxfId="27" headerRowBorderDxfId="26">
  <autoFilter ref="Q12:Q14" xr:uid="{DDE7586D-2549-4596-BFE3-C94FEB4F1F8A}"/>
  <tableColumns count="1">
    <tableColumn id="1" xr3:uid="{CE098233-0496-4D80-91F7-3E1A832895D7}" name="Home Item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00885C8-E16B-4012-A0AE-EBEC0D1C4197}" name="Shopping" displayName="Shopping" ref="M4:M27" totalsRowShown="0" headerRowDxfId="25" headerRowBorderDxfId="24" tableBorderDxfId="23">
  <autoFilter ref="M4:M27" xr:uid="{B00885C8-E16B-4012-A0AE-EBEC0D1C4197}"/>
  <tableColumns count="1">
    <tableColumn id="1" xr3:uid="{849DB5C2-415B-4216-9903-A493F8BAD61C}" name="Shopping"/>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03BD656-AB27-4D11-B28A-9BED619ACFD0}" name="Personal_Care" displayName="Personal_Care" ref="M31:M35" totalsRowShown="0" headerRowDxfId="22" headerRowBorderDxfId="21">
  <autoFilter ref="M31:M35" xr:uid="{403BD656-AB27-4D11-B28A-9BED619ACFD0}"/>
  <tableColumns count="1">
    <tableColumn id="1" xr3:uid="{81526041-E199-40F0-92BF-DE866EE381DA}" name="Personal Car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8A95724-C15E-439F-A360-7FA06B632C03}" name="Donation" displayName="Donation" ref="K15:K17" totalsRowShown="0" headerRowDxfId="20" headerRowBorderDxfId="19" tableBorderDxfId="18">
  <autoFilter ref="K15:K17" xr:uid="{38A95724-C15E-439F-A360-7FA06B632C03}"/>
  <tableColumns count="1">
    <tableColumn id="1" xr3:uid="{9CBDF9AB-485E-4CE1-8927-BC8782C6A185}" name="Dona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923EC82-ECCF-4139-BBCD-5AD72BE5CD0F}" name="GYM_Membership" displayName="GYM_Membership" ref="Q30:Q38" totalsRowShown="0" headerRowDxfId="17" headerRowBorderDxfId="16" tableBorderDxfId="15">
  <autoFilter ref="Q30:Q38" xr:uid="{6923EC82-ECCF-4139-BBCD-5AD72BE5CD0F}"/>
  <tableColumns count="1">
    <tableColumn id="1" xr3:uid="{F5D59FF4-8B1E-4B33-87BD-7A3E51E5F844}" name="GYM_Membership"/>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C9CD9FD-5717-44FE-906E-DC47EC9178A9}" name="Insurance" displayName="Insurance" ref="Q16:Q18" totalsRowShown="0" headerRowDxfId="14" headerRowBorderDxfId="13" tableBorderDxfId="12">
  <autoFilter ref="Q16:Q18" xr:uid="{BC9CD9FD-5717-44FE-906E-DC47EC9178A9}"/>
  <tableColumns count="1">
    <tableColumn id="1" xr3:uid="{66B913B9-D697-4E72-BCBC-057D6F88BB5D}" name="Insuranc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084C130-BAA5-4154-BEC3-FF49F2F9FA06}" name="SKI" displayName="SKI" ref="O25:O30" totalsRowShown="0" headerRowDxfId="11" headerRowBorderDxfId="10">
  <autoFilter ref="O25:O30" xr:uid="{6084C130-BAA5-4154-BEC3-FF49F2F9FA06}"/>
  <tableColumns count="1">
    <tableColumn id="1" xr3:uid="{BC958925-C956-4366-9AD8-6DCA54F8D17B}" name="SKI"/>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28E0C3-F21C-4494-ADC4-3490238F1EB3}" name="WoodWork_Workshop" displayName="WoodWork_Workshop" ref="Q25:Q28" totalsRowShown="0" headerRowDxfId="9" headerRowBorderDxfId="8" tableBorderDxfId="7">
  <autoFilter ref="Q25:Q28" xr:uid="{0028E0C3-F21C-4494-ADC4-3490238F1EB3}"/>
  <tableColumns count="1">
    <tableColumn id="1" xr3:uid="{271F4090-BE97-4BD2-A1F9-9F0CEC9640B6}" name="WoodWork_Workshop"/>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A6F72610-31D3-4320-8BE0-FD2F4E8B0AC8}" name="Tosrif" displayName="Tosrif" ref="S19:S23" totalsRowShown="0" headerRowDxfId="6" headerRowBorderDxfId="5">
  <autoFilter ref="S19:S23" xr:uid="{A6F72610-31D3-4320-8BE0-FD2F4E8B0AC8}"/>
  <tableColumns count="1">
    <tableColumn id="1" xr3:uid="{511069A6-8B9B-41C0-BE2F-226910329BFF}" name="Tosrif"/>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E534B81-6AE3-4E8E-9AED-F76E0C6C82AF}" name="Education" displayName="Education" ref="Q21:Q22" totalsRowShown="0" headerRowDxfId="4" headerRowBorderDxfId="3" tableBorderDxfId="2">
  <autoFilter ref="Q21:Q22" xr:uid="{2E534B81-6AE3-4E8E-9AED-F76E0C6C82AF}"/>
  <tableColumns count="1">
    <tableColumn id="1" xr3:uid="{1E6A6252-AB5B-4D2D-B753-2F6B7E1CF8EB}" name="Educatio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608E6EE-750A-4ED4-805C-8D340C3CCA5E}" name="Family_Support" displayName="Family_Support" ref="K11:K12" totalsRowShown="0" headerRowDxfId="1" headerRowBorderDxfId="0">
  <autoFilter ref="K11:K12" xr:uid="{4608E6EE-750A-4ED4-805C-8D340C3CCA5E}"/>
  <tableColumns count="1">
    <tableColumn id="1" xr3:uid="{0AEE8C03-12D9-44D0-8ED4-F8D706D88964}" name="Family Suppor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3.xml"/><Relationship Id="rId1" Type="http://schemas.microsoft.com/office/2011/relationships/webextension" Target="webextension2.xml"/></Relationships>
</file>

<file path=xl/webextensions/_rels/webextension1.xml.rels><?xml version="1.0" encoding="UTF-8" standalone="yes"?>
<Relationships xmlns="http://schemas.openxmlformats.org/package/2006/relationships"><Relationship Id="rId1" Type="http://schemas.openxmlformats.org/officeDocument/2006/relationships/image" Target="../media/image2.png"/></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 dockstate="right" visibility="0" width="350" row="10">
    <wetp:webextensionref xmlns:r="http://schemas.openxmlformats.org/officeDocument/2006/relationships" r:id="rId2"/>
  </wetp:taskpane>
</wetp:taskpanes>
</file>

<file path=xl/webextensions/webextension1.xml><?xml version="1.0" encoding="utf-8"?>
<we:webextension xmlns:we="http://schemas.microsoft.com/office/webextensions/webextension/2010/11" id="{F1AC3DB8-AB73-4002-B342-523A8F9D5668}">
  <we:reference id="wa102957665" version="1.3.0.0" store="en-US" storeType="OMEX"/>
  <we:alternateReferences>
    <we:reference id="WA102957665" version="1.3.0.0" store="" storeType="OMEX"/>
  </we:alternateReferences>
  <we:properties>
    <we:property name="opt_month" value="&quot;2025-12-01&quot;"/>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38612A27-9D06-44E3-BC8E-2AC6EE24DD09}">
  <we:reference id="wa200005271" version="2.6.1.0" store="en-US" storeType="OMEX"/>
  <we:alternateReferences>
    <we:reference id="wa200005271" version="2.6.1.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0CB1CC15-6EAE-41F8-926C-ADE61A15B985}">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18" Type="http://schemas.openxmlformats.org/officeDocument/2006/relationships/table" Target="../tables/table21.xml"/><Relationship Id="rId3" Type="http://schemas.openxmlformats.org/officeDocument/2006/relationships/table" Target="../tables/table6.xml"/><Relationship Id="rId21" Type="http://schemas.openxmlformats.org/officeDocument/2006/relationships/table" Target="../tables/table24.xml"/><Relationship Id="rId7" Type="http://schemas.openxmlformats.org/officeDocument/2006/relationships/table" Target="../tables/table10.xml"/><Relationship Id="rId12" Type="http://schemas.openxmlformats.org/officeDocument/2006/relationships/table" Target="../tables/table15.xml"/><Relationship Id="rId17" Type="http://schemas.openxmlformats.org/officeDocument/2006/relationships/table" Target="../tables/table20.xml"/><Relationship Id="rId2" Type="http://schemas.openxmlformats.org/officeDocument/2006/relationships/table" Target="../tables/table5.xml"/><Relationship Id="rId16" Type="http://schemas.openxmlformats.org/officeDocument/2006/relationships/table" Target="../tables/table19.xml"/><Relationship Id="rId20" Type="http://schemas.openxmlformats.org/officeDocument/2006/relationships/table" Target="../tables/table23.xml"/><Relationship Id="rId1" Type="http://schemas.openxmlformats.org/officeDocument/2006/relationships/printerSettings" Target="../printerSettings/printerSettings6.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19" Type="http://schemas.openxmlformats.org/officeDocument/2006/relationships/table" Target="../tables/table22.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 Id="rId22" Type="http://schemas.openxmlformats.org/officeDocument/2006/relationships/table" Target="../tables/table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EDA80-EF48-48C1-8341-A57171114EBC}">
  <sheetPr codeName="Sheet2">
    <pageSetUpPr fitToPage="1"/>
  </sheetPr>
  <dimension ref="C1:AA32"/>
  <sheetViews>
    <sheetView showGridLines="0" topLeftCell="C1" workbookViewId="0">
      <selection activeCell="E28" sqref="E28"/>
    </sheetView>
  </sheetViews>
  <sheetFormatPr defaultRowHeight="15" x14ac:dyDescent="0.25"/>
  <cols>
    <col min="1" max="2" width="2.140625" customWidth="1"/>
    <col min="3" max="3" width="2.85546875" customWidth="1"/>
    <col min="4" max="5" width="30" customWidth="1"/>
    <col min="6" max="6" width="2.85546875" customWidth="1"/>
    <col min="7" max="7" width="78.42578125" customWidth="1"/>
    <col min="8" max="8" width="2.85546875" customWidth="1"/>
  </cols>
  <sheetData>
    <row r="1" spans="3:27" s="1" customFormat="1" ht="15" customHeight="1" x14ac:dyDescent="0.25">
      <c r="C1" s="110" t="str" cm="1">
        <f t="array" aca="1" ref="C1" ca="1">MID(CELL("filename", C7), FIND("]", CELL("filename", C7)) + 1, 255)</f>
        <v>Settings</v>
      </c>
      <c r="D1" s="110"/>
      <c r="E1" s="110"/>
      <c r="F1" s="110"/>
      <c r="G1" s="110"/>
      <c r="H1" s="110"/>
      <c r="I1" s="110"/>
      <c r="J1" s="110"/>
      <c r="K1" s="110"/>
      <c r="L1" s="110"/>
      <c r="M1" s="110"/>
      <c r="N1" s="110"/>
      <c r="O1" s="110"/>
      <c r="P1" s="110"/>
      <c r="Q1" s="110"/>
      <c r="R1" s="110"/>
      <c r="S1" s="110"/>
      <c r="T1" s="110"/>
      <c r="U1" s="110"/>
      <c r="V1" s="110"/>
      <c r="W1" s="110"/>
      <c r="X1" s="110"/>
      <c r="Y1" s="110"/>
      <c r="Z1" s="110"/>
      <c r="AA1" s="110"/>
    </row>
    <row r="2" spans="3:27" s="1" customFormat="1" ht="15" customHeight="1" x14ac:dyDescent="0.25">
      <c r="C2" s="110"/>
      <c r="D2" s="110"/>
      <c r="E2" s="110"/>
      <c r="F2" s="110"/>
      <c r="G2" s="110"/>
      <c r="H2" s="110"/>
      <c r="I2" s="110"/>
      <c r="J2" s="110"/>
      <c r="K2" s="110"/>
      <c r="L2" s="110"/>
      <c r="M2" s="110"/>
      <c r="N2" s="110"/>
      <c r="O2" s="110"/>
      <c r="P2" s="110"/>
      <c r="Q2" s="110"/>
      <c r="R2" s="110"/>
      <c r="S2" s="110"/>
      <c r="T2" s="110"/>
      <c r="U2" s="110"/>
      <c r="V2" s="110"/>
      <c r="W2" s="110"/>
      <c r="X2" s="110"/>
      <c r="Y2" s="110"/>
      <c r="Z2" s="110"/>
      <c r="AA2" s="110"/>
    </row>
    <row r="6" spans="3:27" x14ac:dyDescent="0.25">
      <c r="C6" s="109" t="s">
        <v>0</v>
      </c>
      <c r="D6" s="109"/>
      <c r="E6" s="109"/>
      <c r="F6" s="109"/>
      <c r="G6" s="109"/>
      <c r="H6" s="109"/>
    </row>
    <row r="7" spans="3:27" x14ac:dyDescent="0.25">
      <c r="C7" s="2"/>
      <c r="H7" s="3"/>
    </row>
    <row r="8" spans="3:27" x14ac:dyDescent="0.25">
      <c r="C8" s="2"/>
      <c r="D8" s="7" t="s">
        <v>1</v>
      </c>
      <c r="E8" s="8">
        <v>2025</v>
      </c>
      <c r="G8" s="9" t="s">
        <v>2</v>
      </c>
      <c r="H8" s="3"/>
    </row>
    <row r="9" spans="3:27" x14ac:dyDescent="0.25">
      <c r="C9" s="4"/>
      <c r="D9" s="5"/>
      <c r="E9" s="5"/>
      <c r="F9" s="5"/>
      <c r="G9" s="5"/>
      <c r="H9" s="6"/>
    </row>
    <row r="12" spans="3:27" x14ac:dyDescent="0.25">
      <c r="C12" s="109" t="s">
        <v>3</v>
      </c>
      <c r="D12" s="109"/>
      <c r="E12" s="109"/>
      <c r="F12" s="109"/>
      <c r="G12" s="109"/>
      <c r="H12" s="109"/>
    </row>
    <row r="13" spans="3:27" x14ac:dyDescent="0.25">
      <c r="C13" s="2"/>
      <c r="H13" s="3"/>
    </row>
    <row r="14" spans="3:27" ht="15.75" x14ac:dyDescent="0.25">
      <c r="C14" s="2"/>
      <c r="D14" s="41" t="s">
        <v>4</v>
      </c>
      <c r="H14" s="3"/>
    </row>
    <row r="15" spans="3:27" x14ac:dyDescent="0.25">
      <c r="C15" s="2"/>
      <c r="H15" s="3"/>
    </row>
    <row r="16" spans="3:27" x14ac:dyDescent="0.25">
      <c r="C16" s="2"/>
      <c r="D16" s="42" t="s">
        <v>5</v>
      </c>
      <c r="E16" s="8" t="s">
        <v>6</v>
      </c>
      <c r="G16" s="108" t="s">
        <v>7</v>
      </c>
      <c r="H16" s="3"/>
    </row>
    <row r="17" spans="3:8" ht="11.25" customHeight="1" x14ac:dyDescent="0.25">
      <c r="C17" s="2"/>
      <c r="G17" s="108"/>
      <c r="H17" s="3"/>
    </row>
    <row r="18" spans="3:8" x14ac:dyDescent="0.25">
      <c r="C18" s="2"/>
      <c r="D18" s="42" t="s">
        <v>8</v>
      </c>
      <c r="E18" s="8">
        <v>20</v>
      </c>
      <c r="G18" s="108"/>
      <c r="H18" s="3"/>
    </row>
    <row r="19" spans="3:8" x14ac:dyDescent="0.25">
      <c r="C19" s="2"/>
      <c r="H19" s="3"/>
    </row>
    <row r="20" spans="3:8" ht="15.75" x14ac:dyDescent="0.25">
      <c r="C20" s="2"/>
      <c r="D20" s="41" t="s">
        <v>9</v>
      </c>
      <c r="H20" s="3"/>
    </row>
    <row r="21" spans="3:8" x14ac:dyDescent="0.25">
      <c r="C21" s="2"/>
      <c r="H21" s="3"/>
    </row>
    <row r="22" spans="3:8" ht="15" customHeight="1" x14ac:dyDescent="0.25">
      <c r="C22" s="2"/>
      <c r="D22" s="42" t="s">
        <v>10</v>
      </c>
      <c r="E22" s="8" t="s">
        <v>11</v>
      </c>
      <c r="G22" s="108" t="s">
        <v>12</v>
      </c>
      <c r="H22" s="3" t="s">
        <v>13</v>
      </c>
    </row>
    <row r="23" spans="3:8" x14ac:dyDescent="0.25">
      <c r="C23" s="2"/>
      <c r="D23" s="42"/>
      <c r="G23" s="108"/>
      <c r="H23" s="3"/>
    </row>
    <row r="24" spans="3:8" x14ac:dyDescent="0.25">
      <c r="C24" s="2"/>
      <c r="G24" s="108"/>
      <c r="H24" s="3"/>
    </row>
    <row r="25" spans="3:8" ht="15.75" x14ac:dyDescent="0.25">
      <c r="C25" s="2"/>
      <c r="D25" s="41" t="s">
        <v>14</v>
      </c>
      <c r="G25" s="106"/>
      <c r="H25" s="3"/>
    </row>
    <row r="26" spans="3:8" ht="15" customHeight="1" x14ac:dyDescent="0.25">
      <c r="C26" s="2"/>
      <c r="G26" s="106"/>
      <c r="H26" s="3"/>
    </row>
    <row r="27" spans="3:8" ht="15" customHeight="1" x14ac:dyDescent="0.25">
      <c r="C27" s="2"/>
      <c r="D27" s="42" t="s">
        <v>15</v>
      </c>
      <c r="E27" s="8" t="s">
        <v>82</v>
      </c>
      <c r="G27" s="108" t="s">
        <v>17</v>
      </c>
      <c r="H27" s="3"/>
    </row>
    <row r="28" spans="3:8" x14ac:dyDescent="0.25">
      <c r="C28" s="2"/>
      <c r="G28" s="108"/>
      <c r="H28" s="3"/>
    </row>
    <row r="29" spans="3:8" x14ac:dyDescent="0.25">
      <c r="C29" s="2"/>
      <c r="G29" s="108"/>
      <c r="H29" s="3"/>
    </row>
    <row r="30" spans="3:8" x14ac:dyDescent="0.25">
      <c r="C30" s="2"/>
      <c r="G30" s="104"/>
      <c r="H30" s="3"/>
    </row>
    <row r="31" spans="3:8" x14ac:dyDescent="0.25">
      <c r="C31" s="2"/>
      <c r="G31" s="104"/>
      <c r="H31" s="3"/>
    </row>
    <row r="32" spans="3:8" x14ac:dyDescent="0.25">
      <c r="C32" s="4"/>
      <c r="D32" s="5"/>
      <c r="E32" s="5"/>
      <c r="F32" s="5"/>
      <c r="G32" s="5"/>
      <c r="H32" s="6"/>
    </row>
  </sheetData>
  <mergeCells count="6">
    <mergeCell ref="G27:G29"/>
    <mergeCell ref="C6:H6"/>
    <mergeCell ref="C1:AA2"/>
    <mergeCell ref="C12:H12"/>
    <mergeCell ref="G16:G18"/>
    <mergeCell ref="G22:G24"/>
  </mergeCells>
  <conditionalFormatting sqref="E18">
    <cfRule type="expression" dxfId="117" priority="1">
      <formula>Shift_Late_Income_Status="Inactive"</formula>
    </cfRule>
  </conditionalFormatting>
  <dataValidations count="3">
    <dataValidation type="list" allowBlank="1" showInputMessage="1" showErrorMessage="1" sqref="E16" xr:uid="{49DC8A92-7764-4225-AC0C-FA19FDBFD7FA}">
      <formula1>"Active, Inactive"</formula1>
    </dataValidation>
    <dataValidation type="list" allowBlank="1" showInputMessage="1" showErrorMessage="1" sqref="E22:E23" xr:uid="{4E33FCE7-258A-4730-8D24-E35B79A587ED}">
      <formula1>"% allocated to Savings, % not allocated to Expenses"</formula1>
    </dataValidation>
    <dataValidation type="list" allowBlank="1" showInputMessage="1" showErrorMessage="1" sqref="E27" xr:uid="{839C694D-0BA7-47F6-8699-3A415DEA50FB}">
      <formula1>"Cash, Card"</formula1>
    </dataValidation>
  </dataValidations>
  <pageMargins left="0.7" right="0.7" top="0.75" bottom="0.75" header="0.3" footer="0.3"/>
  <pageSetup scale="28"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FA92A-A793-4A82-8382-0FC248343C02}">
  <sheetPr codeName="Sheet3">
    <pageSetUpPr fitToPage="1"/>
  </sheetPr>
  <dimension ref="B1:CI96"/>
  <sheetViews>
    <sheetView showGridLines="0" workbookViewId="0">
      <selection activeCell="E11" sqref="E11"/>
    </sheetView>
  </sheetViews>
  <sheetFormatPr defaultColWidth="9.28515625" defaultRowHeight="15" outlineLevelCol="1" x14ac:dyDescent="0.25"/>
  <cols>
    <col min="1" max="2" width="2.140625" customWidth="1"/>
    <col min="3" max="3" width="35.5703125" customWidth="1"/>
    <col min="4" max="4" width="2.140625" customWidth="1"/>
    <col min="5" max="8" width="9.28515625" customWidth="1" outlineLevel="1"/>
    <col min="9" max="9" width="10.5703125" customWidth="1" outlineLevel="1"/>
    <col min="10" max="13" width="9.28515625" customWidth="1" outlineLevel="1"/>
    <col min="14" max="16" width="10.7109375" customWidth="1" outlineLevel="1"/>
    <col min="17" max="17" width="10.7109375" bestFit="1" customWidth="1"/>
    <col min="18" max="18" width="2.140625" customWidth="1"/>
    <col min="19" max="22" width="9.28515625" hidden="1" customWidth="1" outlineLevel="1"/>
    <col min="23" max="23" width="10.5703125" hidden="1" customWidth="1" outlineLevel="1"/>
    <col min="24" max="27" width="9.28515625" hidden="1" customWidth="1" outlineLevel="1"/>
    <col min="28" max="30" width="10.7109375" hidden="1" customWidth="1" outlineLevel="1"/>
    <col min="31" max="31" width="10.7109375" bestFit="1" customWidth="1" collapsed="1"/>
    <col min="32" max="32" width="2.140625" customWidth="1"/>
    <col min="33" max="36" width="9.28515625" hidden="1" customWidth="1" outlineLevel="1"/>
    <col min="37" max="37" width="10.5703125" hidden="1" customWidth="1" outlineLevel="1"/>
    <col min="38" max="41" width="9.28515625" hidden="1" customWidth="1" outlineLevel="1"/>
    <col min="42" max="44" width="10.7109375" hidden="1" customWidth="1" outlineLevel="1"/>
    <col min="45" max="45" width="10.7109375" bestFit="1" customWidth="1" collapsed="1"/>
    <col min="46" max="46" width="2.140625" customWidth="1"/>
    <col min="47" max="50" width="9.28515625" hidden="1" customWidth="1" outlineLevel="1"/>
    <col min="51" max="51" width="10.5703125" hidden="1" customWidth="1" outlineLevel="1"/>
    <col min="52" max="55" width="9.28515625" hidden="1" customWidth="1" outlineLevel="1"/>
    <col min="56" max="58" width="10.7109375" hidden="1" customWidth="1" outlineLevel="1"/>
    <col min="59" max="59" width="10.7109375" bestFit="1" customWidth="1" collapsed="1"/>
    <col min="60" max="60" width="2.140625" customWidth="1"/>
    <col min="61" max="64" width="9.28515625" hidden="1" customWidth="1" outlineLevel="1"/>
    <col min="65" max="65" width="10.5703125" hidden="1" customWidth="1" outlineLevel="1"/>
    <col min="66" max="69" width="9.28515625" hidden="1" customWidth="1" outlineLevel="1"/>
    <col min="70" max="72" width="10.7109375" hidden="1" customWidth="1" outlineLevel="1"/>
    <col min="73" max="73" width="10.7109375" bestFit="1" customWidth="1" collapsed="1"/>
    <col min="74" max="74" width="2.140625" customWidth="1"/>
    <col min="75" max="78" width="9.28515625" hidden="1" customWidth="1" outlineLevel="1"/>
    <col min="79" max="79" width="10.5703125" hidden="1" customWidth="1" outlineLevel="1"/>
    <col min="80" max="83" width="9.28515625" hidden="1" customWidth="1" outlineLevel="1"/>
    <col min="84" max="86" width="10.7109375" hidden="1" customWidth="1" outlineLevel="1"/>
    <col min="87" max="87" width="10.7109375" bestFit="1" customWidth="1" collapsed="1"/>
    <col min="88" max="88" width="2.140625" customWidth="1"/>
  </cols>
  <sheetData>
    <row r="1" spans="2:87" s="1" customFormat="1" ht="15" customHeight="1" x14ac:dyDescent="0.25">
      <c r="C1" s="112" t="str" cm="1">
        <f t="array" aca="1" ref="C1" ca="1">MID(CELL("filename", C7), FIND("]", CELL("filename", C7)) + 1, 255)</f>
        <v>Budget Planning</v>
      </c>
    </row>
    <row r="2" spans="2:87" s="1" customFormat="1" ht="15" customHeight="1" x14ac:dyDescent="0.25">
      <c r="C2" s="112"/>
    </row>
    <row r="4" spans="2:87" x14ac:dyDescent="0.25">
      <c r="B4" s="10"/>
      <c r="C4" s="10"/>
      <c r="D4" s="10"/>
      <c r="E4" s="10"/>
      <c r="F4" s="10"/>
      <c r="G4" s="10"/>
      <c r="H4" s="10"/>
      <c r="S4" s="10"/>
      <c r="T4" s="10"/>
      <c r="U4" s="10"/>
      <c r="V4" s="10"/>
      <c r="AG4" s="10"/>
      <c r="AH4" s="10"/>
      <c r="AI4" s="10"/>
      <c r="AJ4" s="10"/>
      <c r="AU4" s="10"/>
      <c r="AV4" s="10"/>
      <c r="AW4" s="10"/>
      <c r="AX4" s="10"/>
      <c r="BI4" s="10"/>
      <c r="BJ4" s="10"/>
      <c r="BK4" s="10"/>
      <c r="BL4" s="10"/>
      <c r="BW4" s="10"/>
      <c r="BX4" s="10"/>
      <c r="BY4" s="10"/>
      <c r="BZ4" s="10"/>
    </row>
    <row r="5" spans="2:87" x14ac:dyDescent="0.25">
      <c r="B5" s="10"/>
      <c r="C5" s="14" t="s">
        <v>18</v>
      </c>
      <c r="D5" s="10"/>
      <c r="E5" s="111">
        <f>Starting_Year</f>
        <v>2025</v>
      </c>
      <c r="F5" s="111"/>
      <c r="G5" s="111"/>
      <c r="H5" s="111"/>
      <c r="I5" s="111"/>
      <c r="J5" s="111"/>
      <c r="K5" s="111"/>
      <c r="L5" s="111"/>
      <c r="M5" s="111"/>
      <c r="N5" s="111"/>
      <c r="O5" s="111"/>
      <c r="P5" s="111"/>
      <c r="Q5" s="111"/>
      <c r="S5" s="111">
        <f>E5+1</f>
        <v>2026</v>
      </c>
      <c r="T5" s="111"/>
      <c r="U5" s="111"/>
      <c r="V5" s="111"/>
      <c r="W5" s="111"/>
      <c r="X5" s="111"/>
      <c r="Y5" s="111"/>
      <c r="Z5" s="111"/>
      <c r="AA5" s="111"/>
      <c r="AB5" s="111"/>
      <c r="AC5" s="111"/>
      <c r="AD5" s="111"/>
      <c r="AE5" s="111"/>
      <c r="AG5" s="111">
        <f t="shared" ref="AG5" si="0">S5+1</f>
        <v>2027</v>
      </c>
      <c r="AH5" s="111"/>
      <c r="AI5" s="111"/>
      <c r="AJ5" s="111"/>
      <c r="AK5" s="111"/>
      <c r="AL5" s="111"/>
      <c r="AM5" s="111"/>
      <c r="AN5" s="111"/>
      <c r="AO5" s="111"/>
      <c r="AP5" s="111"/>
      <c r="AQ5" s="111"/>
      <c r="AR5" s="111"/>
      <c r="AS5" s="111"/>
      <c r="AU5" s="111">
        <f t="shared" ref="AU5" si="1">AG5+1</f>
        <v>2028</v>
      </c>
      <c r="AV5" s="111"/>
      <c r="AW5" s="111"/>
      <c r="AX5" s="111"/>
      <c r="AY5" s="111"/>
      <c r="AZ5" s="111"/>
      <c r="BA5" s="111"/>
      <c r="BB5" s="111"/>
      <c r="BC5" s="111"/>
      <c r="BD5" s="111"/>
      <c r="BE5" s="111"/>
      <c r="BF5" s="111"/>
      <c r="BG5" s="111"/>
      <c r="BI5" s="111">
        <f t="shared" ref="BI5" si="2">AU5+1</f>
        <v>2029</v>
      </c>
      <c r="BJ5" s="111"/>
      <c r="BK5" s="111"/>
      <c r="BL5" s="111"/>
      <c r="BM5" s="111"/>
      <c r="BN5" s="111"/>
      <c r="BO5" s="111"/>
      <c r="BP5" s="111"/>
      <c r="BQ5" s="111"/>
      <c r="BR5" s="111"/>
      <c r="BS5" s="111"/>
      <c r="BT5" s="111"/>
      <c r="BU5" s="111"/>
      <c r="BW5" s="111">
        <f t="shared" ref="BW5" si="3">BI5+1</f>
        <v>2030</v>
      </c>
      <c r="BX5" s="111"/>
      <c r="BY5" s="111"/>
      <c r="BZ5" s="111"/>
      <c r="CA5" s="111"/>
      <c r="CB5" s="111"/>
      <c r="CC5" s="111"/>
      <c r="CD5" s="111"/>
      <c r="CE5" s="111"/>
      <c r="CF5" s="111"/>
      <c r="CG5" s="111"/>
      <c r="CH5" s="111"/>
      <c r="CI5" s="111"/>
    </row>
    <row r="6" spans="2:87" x14ac:dyDescent="0.25">
      <c r="B6" s="10"/>
      <c r="C6" s="29"/>
      <c r="D6" s="11"/>
      <c r="E6" s="32" t="str">
        <f ca="1">IF(E7=0, "Jan ✓", "Jan")</f>
        <v>Jan</v>
      </c>
      <c r="F6" s="32" t="str">
        <f ca="1">IF(F7=0, "Feb ✓", "Feb")</f>
        <v>Feb ✓</v>
      </c>
      <c r="G6" s="32" t="str">
        <f ca="1">IF(G7=0, "Mar ✓", "Mar")</f>
        <v>Mar ✓</v>
      </c>
      <c r="H6" s="32" t="str">
        <f ca="1">IF(H7=0, "Apr ✓", "Apr")</f>
        <v>Apr ✓</v>
      </c>
      <c r="I6" s="32" t="str">
        <f ca="1">IF(I7=0, "May ✓", "May")</f>
        <v>May ✓</v>
      </c>
      <c r="J6" s="32" t="str">
        <f ca="1">IF(J7=0, "Jun ✓", "Jun")</f>
        <v>Jun ✓</v>
      </c>
      <c r="K6" s="32" t="str">
        <f ca="1">IF(K7=0, "Jul ✓", "Jul")</f>
        <v>Jul ✓</v>
      </c>
      <c r="L6" s="32" t="str">
        <f ca="1">IF(L7=0, "Aug ✓", "Aug")</f>
        <v>Aug ✓</v>
      </c>
      <c r="M6" s="32" t="str">
        <f ca="1">IF(M7=0, "Sep ✓", "Sep")</f>
        <v>Sep ✓</v>
      </c>
      <c r="N6" s="32" t="str">
        <f ca="1">IF(N7=0, "Oct ✓", "Oct")</f>
        <v>Oct ✓</v>
      </c>
      <c r="O6" s="32" t="str">
        <f ca="1">IF(O7=0, "Nov ✓", "Nov")</f>
        <v>Nov ✓</v>
      </c>
      <c r="P6" s="32" t="str">
        <f ca="1">IF(P7=0, "Dec ✓", "Dec")</f>
        <v>Dec ✓</v>
      </c>
      <c r="Q6" s="32" t="str">
        <f ca="1">IF(Q7=0, "Total ✓", "Total")</f>
        <v>Total</v>
      </c>
      <c r="S6" s="32" t="str">
        <f ca="1">IF(S7=0, "Jan ✓", "Jan")</f>
        <v>Jan ✓</v>
      </c>
      <c r="T6" s="32" t="str">
        <f ca="1">IF(T7=0, "Feb ✓", "Feb")</f>
        <v>Feb ✓</v>
      </c>
      <c r="U6" s="32" t="str">
        <f ca="1">IF(U7=0, "Mar ✓", "Mar")</f>
        <v>Mar ✓</v>
      </c>
      <c r="V6" s="32" t="str">
        <f ca="1">IF(V7=0, "Apr ✓", "Apr")</f>
        <v>Apr ✓</v>
      </c>
      <c r="W6" s="32" t="str">
        <f ca="1">IF(W7=0, "May ✓", "May")</f>
        <v>May ✓</v>
      </c>
      <c r="X6" s="32" t="str">
        <f ca="1">IF(X7=0, "Jun ✓", "Jun")</f>
        <v>Jun ✓</v>
      </c>
      <c r="Y6" s="32" t="str">
        <f ca="1">IF(Y7=0, "Jul ✓", "Jul")</f>
        <v>Jul ✓</v>
      </c>
      <c r="Z6" s="32" t="str">
        <f ca="1">IF(Z7=0, "Aug ✓", "Aug")</f>
        <v>Aug ✓</v>
      </c>
      <c r="AA6" s="32" t="str">
        <f ca="1">IF(AA7=0, "Sep ✓", "Sep")</f>
        <v>Sep ✓</v>
      </c>
      <c r="AB6" s="32" t="str">
        <f ca="1">IF(AB7=0, "Oct ✓", "Oct")</f>
        <v>Oct ✓</v>
      </c>
      <c r="AC6" s="32" t="str">
        <f ca="1">IF(AC7=0, "Nov ✓", "Nov")</f>
        <v>Nov ✓</v>
      </c>
      <c r="AD6" s="32" t="str">
        <f ca="1">IF(AD7=0, "Dec ✓", "Dec")</f>
        <v>Dec ✓</v>
      </c>
      <c r="AE6" s="32" t="str">
        <f ca="1">IF(AE7=0, "Total ✓", "Total")</f>
        <v>Total ✓</v>
      </c>
      <c r="AG6" s="32" t="str">
        <f t="shared" ref="AG6" ca="1" si="4">IF(AG7=0, "Jan ✓", "Jan")</f>
        <v>Jan ✓</v>
      </c>
      <c r="AH6" s="32" t="str">
        <f t="shared" ref="AH6" ca="1" si="5">IF(AH7=0, "Feb ✓", "Feb")</f>
        <v>Feb ✓</v>
      </c>
      <c r="AI6" s="32" t="str">
        <f t="shared" ref="AI6" ca="1" si="6">IF(AI7=0, "Mar ✓", "Mar")</f>
        <v>Mar ✓</v>
      </c>
      <c r="AJ6" s="32" t="str">
        <f t="shared" ref="AJ6" ca="1" si="7">IF(AJ7=0, "Apr ✓", "Apr")</f>
        <v>Apr ✓</v>
      </c>
      <c r="AK6" s="32" t="str">
        <f t="shared" ref="AK6" ca="1" si="8">IF(AK7=0, "May ✓", "May")</f>
        <v>May ✓</v>
      </c>
      <c r="AL6" s="32" t="str">
        <f t="shared" ref="AL6" ca="1" si="9">IF(AL7=0, "Jun ✓", "Jun")</f>
        <v>Jun ✓</v>
      </c>
      <c r="AM6" s="32" t="str">
        <f t="shared" ref="AM6" ca="1" si="10">IF(AM7=0, "Jul ✓", "Jul")</f>
        <v>Jul ✓</v>
      </c>
      <c r="AN6" s="32" t="str">
        <f t="shared" ref="AN6" ca="1" si="11">IF(AN7=0, "Aug ✓", "Aug")</f>
        <v>Aug ✓</v>
      </c>
      <c r="AO6" s="32" t="str">
        <f t="shared" ref="AO6" ca="1" si="12">IF(AO7=0, "Sep ✓", "Sep")</f>
        <v>Sep ✓</v>
      </c>
      <c r="AP6" s="32" t="str">
        <f t="shared" ref="AP6" ca="1" si="13">IF(AP7=0, "Oct ✓", "Oct")</f>
        <v>Oct ✓</v>
      </c>
      <c r="AQ6" s="32" t="str">
        <f t="shared" ref="AQ6" ca="1" si="14">IF(AQ7=0, "Nov ✓", "Nov")</f>
        <v>Nov ✓</v>
      </c>
      <c r="AR6" s="32" t="str">
        <f t="shared" ref="AR6" ca="1" si="15">IF(AR7=0, "Dec ✓", "Dec")</f>
        <v>Dec ✓</v>
      </c>
      <c r="AS6" s="32" t="str">
        <f t="shared" ref="AS6" ca="1" si="16">IF(AS7=0, "Total ✓", "Total")</f>
        <v>Total ✓</v>
      </c>
      <c r="AU6" s="32" t="str">
        <f t="shared" ref="AU6" ca="1" si="17">IF(AU7=0, "Jan ✓", "Jan")</f>
        <v>Jan ✓</v>
      </c>
      <c r="AV6" s="32" t="str">
        <f t="shared" ref="AV6" ca="1" si="18">IF(AV7=0, "Feb ✓", "Feb")</f>
        <v>Feb ✓</v>
      </c>
      <c r="AW6" s="32" t="str">
        <f t="shared" ref="AW6" ca="1" si="19">IF(AW7=0, "Mar ✓", "Mar")</f>
        <v>Mar ✓</v>
      </c>
      <c r="AX6" s="32" t="str">
        <f t="shared" ref="AX6" ca="1" si="20">IF(AX7=0, "Apr ✓", "Apr")</f>
        <v>Apr ✓</v>
      </c>
      <c r="AY6" s="32" t="str">
        <f t="shared" ref="AY6" ca="1" si="21">IF(AY7=0, "May ✓", "May")</f>
        <v>May ✓</v>
      </c>
      <c r="AZ6" s="32" t="str">
        <f t="shared" ref="AZ6" ca="1" si="22">IF(AZ7=0, "Jun ✓", "Jun")</f>
        <v>Jun ✓</v>
      </c>
      <c r="BA6" s="32" t="str">
        <f t="shared" ref="BA6" ca="1" si="23">IF(BA7=0, "Jul ✓", "Jul")</f>
        <v>Jul ✓</v>
      </c>
      <c r="BB6" s="32" t="str">
        <f t="shared" ref="BB6" ca="1" si="24">IF(BB7=0, "Aug ✓", "Aug")</f>
        <v>Aug ✓</v>
      </c>
      <c r="BC6" s="32" t="str">
        <f t="shared" ref="BC6" ca="1" si="25">IF(BC7=0, "Sep ✓", "Sep")</f>
        <v>Sep ✓</v>
      </c>
      <c r="BD6" s="32" t="str">
        <f t="shared" ref="BD6" ca="1" si="26">IF(BD7=0, "Oct ✓", "Oct")</f>
        <v>Oct ✓</v>
      </c>
      <c r="BE6" s="32" t="str">
        <f t="shared" ref="BE6" ca="1" si="27">IF(BE7=0, "Nov ✓", "Nov")</f>
        <v>Nov ✓</v>
      </c>
      <c r="BF6" s="32" t="str">
        <f t="shared" ref="BF6" ca="1" si="28">IF(BF7=0, "Dec ✓", "Dec")</f>
        <v>Dec ✓</v>
      </c>
      <c r="BG6" s="32" t="str">
        <f t="shared" ref="BG6" ca="1" si="29">IF(BG7=0, "Total ✓", "Total")</f>
        <v>Total ✓</v>
      </c>
      <c r="BI6" s="32" t="str">
        <f t="shared" ref="BI6" ca="1" si="30">IF(BI7=0, "Jan ✓", "Jan")</f>
        <v>Jan ✓</v>
      </c>
      <c r="BJ6" s="32" t="str">
        <f t="shared" ref="BJ6" ca="1" si="31">IF(BJ7=0, "Feb ✓", "Feb")</f>
        <v>Feb ✓</v>
      </c>
      <c r="BK6" s="32" t="str">
        <f t="shared" ref="BK6" ca="1" si="32">IF(BK7=0, "Mar ✓", "Mar")</f>
        <v>Mar ✓</v>
      </c>
      <c r="BL6" s="32" t="str">
        <f t="shared" ref="BL6" ca="1" si="33">IF(BL7=0, "Apr ✓", "Apr")</f>
        <v>Apr ✓</v>
      </c>
      <c r="BM6" s="32" t="str">
        <f t="shared" ref="BM6" ca="1" si="34">IF(BM7=0, "May ✓", "May")</f>
        <v>May ✓</v>
      </c>
      <c r="BN6" s="32" t="str">
        <f t="shared" ref="BN6" ca="1" si="35">IF(BN7=0, "Jun ✓", "Jun")</f>
        <v>Jun ✓</v>
      </c>
      <c r="BO6" s="32" t="str">
        <f t="shared" ref="BO6" ca="1" si="36">IF(BO7=0, "Jul ✓", "Jul")</f>
        <v>Jul ✓</v>
      </c>
      <c r="BP6" s="32" t="str">
        <f t="shared" ref="BP6" ca="1" si="37">IF(BP7=0, "Aug ✓", "Aug")</f>
        <v>Aug ✓</v>
      </c>
      <c r="BQ6" s="32" t="str">
        <f t="shared" ref="BQ6" ca="1" si="38">IF(BQ7=0, "Sep ✓", "Sep")</f>
        <v>Sep ✓</v>
      </c>
      <c r="BR6" s="32" t="str">
        <f t="shared" ref="BR6" ca="1" si="39">IF(BR7=0, "Oct ✓", "Oct")</f>
        <v>Oct ✓</v>
      </c>
      <c r="BS6" s="32" t="str">
        <f t="shared" ref="BS6" ca="1" si="40">IF(BS7=0, "Nov ✓", "Nov")</f>
        <v>Nov ✓</v>
      </c>
      <c r="BT6" s="32" t="str">
        <f t="shared" ref="BT6" ca="1" si="41">IF(BT7=0, "Dec ✓", "Dec")</f>
        <v>Dec ✓</v>
      </c>
      <c r="BU6" s="32" t="str">
        <f t="shared" ref="BU6" ca="1" si="42">IF(BU7=0, "Total ✓", "Total")</f>
        <v>Total ✓</v>
      </c>
      <c r="BW6" s="32" t="str">
        <f t="shared" ref="BW6" ca="1" si="43">IF(BW7=0, "Jan ✓", "Jan")</f>
        <v>Jan ✓</v>
      </c>
      <c r="BX6" s="32" t="str">
        <f t="shared" ref="BX6" ca="1" si="44">IF(BX7=0, "Feb ✓", "Feb")</f>
        <v>Feb ✓</v>
      </c>
      <c r="BY6" s="32" t="str">
        <f t="shared" ref="BY6" ca="1" si="45">IF(BY7=0, "Mar ✓", "Mar")</f>
        <v>Mar ✓</v>
      </c>
      <c r="BZ6" s="32" t="str">
        <f t="shared" ref="BZ6" ca="1" si="46">IF(BZ7=0, "Apr ✓", "Apr")</f>
        <v>Apr ✓</v>
      </c>
      <c r="CA6" s="32" t="str">
        <f t="shared" ref="CA6" ca="1" si="47">IF(CA7=0, "May ✓", "May")</f>
        <v>May ✓</v>
      </c>
      <c r="CB6" s="32" t="str">
        <f t="shared" ref="CB6" ca="1" si="48">IF(CB7=0, "Jun ✓", "Jun")</f>
        <v>Jun ✓</v>
      </c>
      <c r="CC6" s="32" t="str">
        <f t="shared" ref="CC6" ca="1" si="49">IF(CC7=0, "Jul ✓", "Jul")</f>
        <v>Jul ✓</v>
      </c>
      <c r="CD6" s="32" t="str">
        <f t="shared" ref="CD6" ca="1" si="50">IF(CD7=0, "Aug ✓", "Aug")</f>
        <v>Aug ✓</v>
      </c>
      <c r="CE6" s="32" t="str">
        <f t="shared" ref="CE6" ca="1" si="51">IF(CE7=0, "Sep ✓", "Sep")</f>
        <v>Sep ✓</v>
      </c>
      <c r="CF6" s="32" t="str">
        <f t="shared" ref="CF6" ca="1" si="52">IF(CF7=0, "Oct ✓", "Oct")</f>
        <v>Oct ✓</v>
      </c>
      <c r="CG6" s="32" t="str">
        <f t="shared" ref="CG6" ca="1" si="53">IF(CG7=0, "Nov ✓", "Nov")</f>
        <v>Nov ✓</v>
      </c>
      <c r="CH6" s="32" t="str">
        <f t="shared" ref="CH6" ca="1" si="54">IF(CH7=0, "Dec ✓", "Dec")</f>
        <v>Dec ✓</v>
      </c>
      <c r="CI6" s="32" t="str">
        <f t="shared" ref="CI6" ca="1" si="55">IF(CI7=0, "Total ✓", "Total")</f>
        <v>Total ✓</v>
      </c>
    </row>
    <row r="7" spans="2:87" x14ac:dyDescent="0.25">
      <c r="B7" s="10"/>
      <c r="C7" s="29" t="s">
        <v>19</v>
      </c>
      <c r="D7" s="10"/>
      <c r="E7" s="33">
        <f t="shared" ref="E7:Q7" ca="1" si="56">E20-(E68+E81)</f>
        <v>10</v>
      </c>
      <c r="F7" s="30">
        <f t="shared" ca="1" si="56"/>
        <v>0</v>
      </c>
      <c r="G7" s="30">
        <f t="shared" ca="1" si="56"/>
        <v>0</v>
      </c>
      <c r="H7" s="30">
        <f t="shared" ca="1" si="56"/>
        <v>0</v>
      </c>
      <c r="I7" s="30">
        <f t="shared" ca="1" si="56"/>
        <v>0</v>
      </c>
      <c r="J7" s="30">
        <f t="shared" ca="1" si="56"/>
        <v>0</v>
      </c>
      <c r="K7" s="30">
        <f t="shared" ca="1" si="56"/>
        <v>0</v>
      </c>
      <c r="L7" s="30">
        <f t="shared" ca="1" si="56"/>
        <v>0</v>
      </c>
      <c r="M7" s="30">
        <f t="shared" ca="1" si="56"/>
        <v>0</v>
      </c>
      <c r="N7" s="30">
        <f t="shared" ca="1" si="56"/>
        <v>0</v>
      </c>
      <c r="O7" s="30">
        <f t="shared" ca="1" si="56"/>
        <v>0</v>
      </c>
      <c r="P7" s="30">
        <f t="shared" ca="1" si="56"/>
        <v>0</v>
      </c>
      <c r="Q7" s="30">
        <f t="shared" ca="1" si="56"/>
        <v>10</v>
      </c>
      <c r="S7" s="33">
        <f t="shared" ref="S7:AE7" ca="1" si="57">S20-(S68+S81)</f>
        <v>0</v>
      </c>
      <c r="T7" s="30">
        <f t="shared" ca="1" si="57"/>
        <v>0</v>
      </c>
      <c r="U7" s="30">
        <f t="shared" ca="1" si="57"/>
        <v>0</v>
      </c>
      <c r="V7" s="30">
        <f t="shared" ca="1" si="57"/>
        <v>0</v>
      </c>
      <c r="W7" s="30">
        <f t="shared" ca="1" si="57"/>
        <v>0</v>
      </c>
      <c r="X7" s="30">
        <f t="shared" ca="1" si="57"/>
        <v>0</v>
      </c>
      <c r="Y7" s="30">
        <f t="shared" ca="1" si="57"/>
        <v>0</v>
      </c>
      <c r="Z7" s="30">
        <f t="shared" ca="1" si="57"/>
        <v>0</v>
      </c>
      <c r="AA7" s="30">
        <f t="shared" ca="1" si="57"/>
        <v>0</v>
      </c>
      <c r="AB7" s="30">
        <f t="shared" ca="1" si="57"/>
        <v>0</v>
      </c>
      <c r="AC7" s="30">
        <f t="shared" ca="1" si="57"/>
        <v>0</v>
      </c>
      <c r="AD7" s="30">
        <f t="shared" ca="1" si="57"/>
        <v>0</v>
      </c>
      <c r="AE7" s="30">
        <f t="shared" ca="1" si="57"/>
        <v>0</v>
      </c>
      <c r="AG7" s="33">
        <f t="shared" ref="AG7:AS7" ca="1" si="58">AG20-(AG68+AG81)</f>
        <v>0</v>
      </c>
      <c r="AH7" s="30">
        <f t="shared" ca="1" si="58"/>
        <v>0</v>
      </c>
      <c r="AI7" s="30">
        <f t="shared" ca="1" si="58"/>
        <v>0</v>
      </c>
      <c r="AJ7" s="30">
        <f t="shared" ca="1" si="58"/>
        <v>0</v>
      </c>
      <c r="AK7" s="30">
        <f t="shared" ca="1" si="58"/>
        <v>0</v>
      </c>
      <c r="AL7" s="30">
        <f t="shared" ca="1" si="58"/>
        <v>0</v>
      </c>
      <c r="AM7" s="30">
        <f t="shared" ca="1" si="58"/>
        <v>0</v>
      </c>
      <c r="AN7" s="30">
        <f t="shared" ca="1" si="58"/>
        <v>0</v>
      </c>
      <c r="AO7" s="30">
        <f t="shared" ca="1" si="58"/>
        <v>0</v>
      </c>
      <c r="AP7" s="30">
        <f t="shared" ca="1" si="58"/>
        <v>0</v>
      </c>
      <c r="AQ7" s="30">
        <f t="shared" ca="1" si="58"/>
        <v>0</v>
      </c>
      <c r="AR7" s="30">
        <f t="shared" ca="1" si="58"/>
        <v>0</v>
      </c>
      <c r="AS7" s="30">
        <f t="shared" ca="1" si="58"/>
        <v>0</v>
      </c>
      <c r="AU7" s="33">
        <f t="shared" ref="AU7:BG7" ca="1" si="59">AU20-(AU68+AU81)</f>
        <v>0</v>
      </c>
      <c r="AV7" s="30">
        <f t="shared" ca="1" si="59"/>
        <v>0</v>
      </c>
      <c r="AW7" s="30">
        <f t="shared" ca="1" si="59"/>
        <v>0</v>
      </c>
      <c r="AX7" s="30">
        <f t="shared" ca="1" si="59"/>
        <v>0</v>
      </c>
      <c r="AY7" s="30">
        <f t="shared" ca="1" si="59"/>
        <v>0</v>
      </c>
      <c r="AZ7" s="30">
        <f t="shared" ca="1" si="59"/>
        <v>0</v>
      </c>
      <c r="BA7" s="30">
        <f t="shared" ca="1" si="59"/>
        <v>0</v>
      </c>
      <c r="BB7" s="30">
        <f t="shared" ca="1" si="59"/>
        <v>0</v>
      </c>
      <c r="BC7" s="30">
        <f t="shared" ca="1" si="59"/>
        <v>0</v>
      </c>
      <c r="BD7" s="30">
        <f t="shared" ca="1" si="59"/>
        <v>0</v>
      </c>
      <c r="BE7" s="30">
        <f t="shared" ca="1" si="59"/>
        <v>0</v>
      </c>
      <c r="BF7" s="30">
        <f t="shared" ca="1" si="59"/>
        <v>0</v>
      </c>
      <c r="BG7" s="30">
        <f t="shared" ca="1" si="59"/>
        <v>0</v>
      </c>
      <c r="BI7" s="33">
        <f t="shared" ref="BI7:BU7" ca="1" si="60">BI20-(BI68+BI81)</f>
        <v>0</v>
      </c>
      <c r="BJ7" s="30">
        <f t="shared" ca="1" si="60"/>
        <v>0</v>
      </c>
      <c r="BK7" s="30">
        <f t="shared" ca="1" si="60"/>
        <v>0</v>
      </c>
      <c r="BL7" s="30">
        <f t="shared" ca="1" si="60"/>
        <v>0</v>
      </c>
      <c r="BM7" s="30">
        <f t="shared" ca="1" si="60"/>
        <v>0</v>
      </c>
      <c r="BN7" s="30">
        <f t="shared" ca="1" si="60"/>
        <v>0</v>
      </c>
      <c r="BO7" s="30">
        <f t="shared" ca="1" si="60"/>
        <v>0</v>
      </c>
      <c r="BP7" s="30">
        <f t="shared" ca="1" si="60"/>
        <v>0</v>
      </c>
      <c r="BQ7" s="30">
        <f t="shared" ca="1" si="60"/>
        <v>0</v>
      </c>
      <c r="BR7" s="30">
        <f t="shared" ca="1" si="60"/>
        <v>0</v>
      </c>
      <c r="BS7" s="30">
        <f t="shared" ca="1" si="60"/>
        <v>0</v>
      </c>
      <c r="BT7" s="30">
        <f t="shared" ca="1" si="60"/>
        <v>0</v>
      </c>
      <c r="BU7" s="30">
        <f t="shared" ca="1" si="60"/>
        <v>0</v>
      </c>
      <c r="BW7" s="33">
        <f t="shared" ref="BW7:CI7" ca="1" si="61">BW20-(BW68+BW81)</f>
        <v>0</v>
      </c>
      <c r="BX7" s="30">
        <f t="shared" ca="1" si="61"/>
        <v>0</v>
      </c>
      <c r="BY7" s="30">
        <f t="shared" ca="1" si="61"/>
        <v>0</v>
      </c>
      <c r="BZ7" s="30">
        <f t="shared" ca="1" si="61"/>
        <v>0</v>
      </c>
      <c r="CA7" s="30">
        <f t="shared" ca="1" si="61"/>
        <v>0</v>
      </c>
      <c r="CB7" s="30">
        <f t="shared" ca="1" si="61"/>
        <v>0</v>
      </c>
      <c r="CC7" s="30">
        <f t="shared" ca="1" si="61"/>
        <v>0</v>
      </c>
      <c r="CD7" s="30">
        <f t="shared" ca="1" si="61"/>
        <v>0</v>
      </c>
      <c r="CE7" s="30">
        <f t="shared" ca="1" si="61"/>
        <v>0</v>
      </c>
      <c r="CF7" s="30">
        <f t="shared" ca="1" si="61"/>
        <v>0</v>
      </c>
      <c r="CG7" s="30">
        <f t="shared" ca="1" si="61"/>
        <v>0</v>
      </c>
      <c r="CH7" s="30">
        <f t="shared" ca="1" si="61"/>
        <v>0</v>
      </c>
      <c r="CI7" s="30">
        <f t="shared" ca="1" si="61"/>
        <v>0</v>
      </c>
    </row>
    <row r="8" spans="2:87" x14ac:dyDescent="0.25">
      <c r="B8" s="10"/>
      <c r="C8" s="10"/>
      <c r="D8" s="11"/>
      <c r="E8" s="12"/>
      <c r="F8" s="10"/>
      <c r="G8" s="13"/>
      <c r="H8" s="10"/>
      <c r="S8" s="12"/>
      <c r="T8" s="10"/>
      <c r="U8" s="13"/>
      <c r="V8" s="10"/>
      <c r="AG8" s="12"/>
      <c r="AH8" s="10"/>
      <c r="AI8" s="13"/>
      <c r="AJ8" s="10"/>
      <c r="AU8" s="12"/>
      <c r="AV8" s="10"/>
      <c r="AW8" s="13"/>
      <c r="AX8" s="10"/>
      <c r="BI8" s="12"/>
      <c r="BJ8" s="10"/>
      <c r="BK8" s="13"/>
      <c r="BL8" s="10"/>
      <c r="BW8" s="12"/>
      <c r="BX8" s="10"/>
      <c r="BY8" s="13"/>
      <c r="BZ8" s="10"/>
    </row>
    <row r="9" spans="2:87" x14ac:dyDescent="0.25">
      <c r="B9" s="10"/>
      <c r="C9" s="16" t="s">
        <v>20</v>
      </c>
      <c r="D9" s="10"/>
      <c r="E9" s="21">
        <f>DATE(E$5,1,1)</f>
        <v>45658</v>
      </c>
      <c r="F9" s="21">
        <f>DATE(E$5,2,1)</f>
        <v>45689</v>
      </c>
      <c r="G9" s="21">
        <f>DATE(E$5,3,1)</f>
        <v>45717</v>
      </c>
      <c r="H9" s="21">
        <f>DATE(E$5,4,1)</f>
        <v>45748</v>
      </c>
      <c r="I9" s="21">
        <f>DATE(E$5,5,1)</f>
        <v>45778</v>
      </c>
      <c r="J9" s="21">
        <f>DATE(E$5,6,1)</f>
        <v>45809</v>
      </c>
      <c r="K9" s="21">
        <f>DATE(E$5,7,1)</f>
        <v>45839</v>
      </c>
      <c r="L9" s="21">
        <f>DATE(E$5,8,1)</f>
        <v>45870</v>
      </c>
      <c r="M9" s="21">
        <f>DATE(E$5,9,1)</f>
        <v>45901</v>
      </c>
      <c r="N9" s="21">
        <f>DATE(E$5,10,1)</f>
        <v>45931</v>
      </c>
      <c r="O9" s="21">
        <f>DATE(E$5,11,1)</f>
        <v>45962</v>
      </c>
      <c r="P9" s="21">
        <f>DATE(E$5,12,1)</f>
        <v>45992</v>
      </c>
      <c r="Q9" s="22">
        <f>E$5</f>
        <v>2025</v>
      </c>
      <c r="S9" s="21">
        <f>DATE(S$5,1,1)</f>
        <v>46023</v>
      </c>
      <c r="T9" s="21">
        <f>DATE(S$5,2,1)</f>
        <v>46054</v>
      </c>
      <c r="U9" s="21">
        <f>DATE(S$5,3,1)</f>
        <v>46082</v>
      </c>
      <c r="V9" s="21">
        <f>DATE(S$5,4,1)</f>
        <v>46113</v>
      </c>
      <c r="W9" s="21">
        <f>DATE(S$5,5,1)</f>
        <v>46143</v>
      </c>
      <c r="X9" s="21">
        <f>DATE(S$5,6,1)</f>
        <v>46174</v>
      </c>
      <c r="Y9" s="21">
        <f>DATE(S$5,7,1)</f>
        <v>46204</v>
      </c>
      <c r="Z9" s="21">
        <f>DATE(S$5,8,1)</f>
        <v>46235</v>
      </c>
      <c r="AA9" s="21">
        <f>DATE(S$5,9,1)</f>
        <v>46266</v>
      </c>
      <c r="AB9" s="21">
        <f>DATE(S$5,10,1)</f>
        <v>46296</v>
      </c>
      <c r="AC9" s="21">
        <f>DATE(S$5,11,1)</f>
        <v>46327</v>
      </c>
      <c r="AD9" s="21">
        <f>DATE(S$5,12,1)</f>
        <v>46357</v>
      </c>
      <c r="AE9" s="22">
        <f>S$5</f>
        <v>2026</v>
      </c>
      <c r="AG9" s="21">
        <f t="shared" ref="AG9" si="62">DATE(AG$5,1,1)</f>
        <v>46388</v>
      </c>
      <c r="AH9" s="21">
        <f t="shared" ref="AH9" si="63">DATE(AG$5,2,1)</f>
        <v>46419</v>
      </c>
      <c r="AI9" s="21">
        <f t="shared" ref="AI9" si="64">DATE(AG$5,3,1)</f>
        <v>46447</v>
      </c>
      <c r="AJ9" s="21">
        <f t="shared" ref="AJ9" si="65">DATE(AG$5,4,1)</f>
        <v>46478</v>
      </c>
      <c r="AK9" s="21">
        <f t="shared" ref="AK9" si="66">DATE(AG$5,5,1)</f>
        <v>46508</v>
      </c>
      <c r="AL9" s="21">
        <f t="shared" ref="AL9" si="67">DATE(AG$5,6,1)</f>
        <v>46539</v>
      </c>
      <c r="AM9" s="21">
        <f t="shared" ref="AM9" si="68">DATE(AG$5,7,1)</f>
        <v>46569</v>
      </c>
      <c r="AN9" s="21">
        <f t="shared" ref="AN9" si="69">DATE(AG$5,8,1)</f>
        <v>46600</v>
      </c>
      <c r="AO9" s="21">
        <f t="shared" ref="AO9" si="70">DATE(AG$5,9,1)</f>
        <v>46631</v>
      </c>
      <c r="AP9" s="21">
        <f t="shared" ref="AP9" si="71">DATE(AG$5,10,1)</f>
        <v>46661</v>
      </c>
      <c r="AQ9" s="21">
        <f t="shared" ref="AQ9" si="72">DATE(AG$5,11,1)</f>
        <v>46692</v>
      </c>
      <c r="AR9" s="21">
        <f t="shared" ref="AR9" si="73">DATE(AG$5,12,1)</f>
        <v>46722</v>
      </c>
      <c r="AS9" s="22">
        <f t="shared" ref="AS9" si="74">AG$5</f>
        <v>2027</v>
      </c>
      <c r="AU9" s="21">
        <f t="shared" ref="AU9:BW9" si="75">DATE(AU$5,1,1)</f>
        <v>46753</v>
      </c>
      <c r="AV9" s="21">
        <f t="shared" ref="AV9" si="76">DATE(AU$5,2,1)</f>
        <v>46784</v>
      </c>
      <c r="AW9" s="21">
        <f t="shared" ref="AW9" si="77">DATE(AU$5,3,1)</f>
        <v>46813</v>
      </c>
      <c r="AX9" s="21">
        <f t="shared" ref="AX9" si="78">DATE(AU$5,4,1)</f>
        <v>46844</v>
      </c>
      <c r="AY9" s="21">
        <f t="shared" ref="AY9" si="79">DATE(AU$5,5,1)</f>
        <v>46874</v>
      </c>
      <c r="AZ9" s="21">
        <f t="shared" ref="AZ9" si="80">DATE(AU$5,6,1)</f>
        <v>46905</v>
      </c>
      <c r="BA9" s="21">
        <f t="shared" ref="BA9" si="81">DATE(AU$5,7,1)</f>
        <v>46935</v>
      </c>
      <c r="BB9" s="21">
        <f t="shared" ref="BB9" si="82">DATE(AU$5,8,1)</f>
        <v>46966</v>
      </c>
      <c r="BC9" s="21">
        <f t="shared" ref="BC9" si="83">DATE(AU$5,9,1)</f>
        <v>46997</v>
      </c>
      <c r="BD9" s="21">
        <f t="shared" ref="BD9" si="84">DATE(AU$5,10,1)</f>
        <v>47027</v>
      </c>
      <c r="BE9" s="21">
        <f t="shared" ref="BE9" si="85">DATE(AU$5,11,1)</f>
        <v>47058</v>
      </c>
      <c r="BF9" s="21">
        <f t="shared" ref="BF9" si="86">DATE(AU$5,12,1)</f>
        <v>47088</v>
      </c>
      <c r="BG9" s="22">
        <f t="shared" ref="BG9" si="87">AU$5</f>
        <v>2028</v>
      </c>
      <c r="BI9" s="21">
        <f t="shared" si="75"/>
        <v>47119</v>
      </c>
      <c r="BJ9" s="21">
        <f t="shared" ref="BJ9" si="88">DATE(BI$5,2,1)</f>
        <v>47150</v>
      </c>
      <c r="BK9" s="21">
        <f t="shared" ref="BK9" si="89">DATE(BI$5,3,1)</f>
        <v>47178</v>
      </c>
      <c r="BL9" s="21">
        <f t="shared" ref="BL9" si="90">DATE(BI$5,4,1)</f>
        <v>47209</v>
      </c>
      <c r="BM9" s="21">
        <f t="shared" ref="BM9" si="91">DATE(BI$5,5,1)</f>
        <v>47239</v>
      </c>
      <c r="BN9" s="21">
        <f t="shared" ref="BN9" si="92">DATE(BI$5,6,1)</f>
        <v>47270</v>
      </c>
      <c r="BO9" s="21">
        <f t="shared" ref="BO9" si="93">DATE(BI$5,7,1)</f>
        <v>47300</v>
      </c>
      <c r="BP9" s="21">
        <f t="shared" ref="BP9" si="94">DATE(BI$5,8,1)</f>
        <v>47331</v>
      </c>
      <c r="BQ9" s="21">
        <f t="shared" ref="BQ9" si="95">DATE(BI$5,9,1)</f>
        <v>47362</v>
      </c>
      <c r="BR9" s="21">
        <f t="shared" ref="BR9" si="96">DATE(BI$5,10,1)</f>
        <v>47392</v>
      </c>
      <c r="BS9" s="21">
        <f t="shared" ref="BS9" si="97">DATE(BI$5,11,1)</f>
        <v>47423</v>
      </c>
      <c r="BT9" s="21">
        <f t="shared" ref="BT9" si="98">DATE(BI$5,12,1)</f>
        <v>47453</v>
      </c>
      <c r="BU9" s="22">
        <f t="shared" ref="BU9" si="99">BI$5</f>
        <v>2029</v>
      </c>
      <c r="BW9" s="21">
        <f t="shared" si="75"/>
        <v>47484</v>
      </c>
      <c r="BX9" s="21">
        <f t="shared" ref="BX9" si="100">DATE(BW$5,2,1)</f>
        <v>47515</v>
      </c>
      <c r="BY9" s="21">
        <f t="shared" ref="BY9" si="101">DATE(BW$5,3,1)</f>
        <v>47543</v>
      </c>
      <c r="BZ9" s="21">
        <f t="shared" ref="BZ9" si="102">DATE(BW$5,4,1)</f>
        <v>47574</v>
      </c>
      <c r="CA9" s="21">
        <f t="shared" ref="CA9" si="103">DATE(BW$5,5,1)</f>
        <v>47604</v>
      </c>
      <c r="CB9" s="21">
        <f t="shared" ref="CB9" si="104">DATE(BW$5,6,1)</f>
        <v>47635</v>
      </c>
      <c r="CC9" s="21">
        <f t="shared" ref="CC9" si="105">DATE(BW$5,7,1)</f>
        <v>47665</v>
      </c>
      <c r="CD9" s="21">
        <f t="shared" ref="CD9" si="106">DATE(BW$5,8,1)</f>
        <v>47696</v>
      </c>
      <c r="CE9" s="21">
        <f t="shared" ref="CE9" si="107">DATE(BW$5,9,1)</f>
        <v>47727</v>
      </c>
      <c r="CF9" s="21">
        <f t="shared" ref="CF9" si="108">DATE(BW$5,10,1)</f>
        <v>47757</v>
      </c>
      <c r="CG9" s="21">
        <f t="shared" ref="CG9" si="109">DATE(BW$5,11,1)</f>
        <v>47788</v>
      </c>
      <c r="CH9" s="21">
        <f t="shared" ref="CH9" si="110">DATE(BW$5,12,1)</f>
        <v>47818</v>
      </c>
      <c r="CI9" s="22">
        <f t="shared" ref="CI9" si="111">BW$5</f>
        <v>2030</v>
      </c>
    </row>
    <row r="10" spans="2:87" x14ac:dyDescent="0.25">
      <c r="B10" s="10"/>
      <c r="C10" s="17" t="s">
        <v>21</v>
      </c>
      <c r="D10" s="10"/>
      <c r="E10" s="25">
        <v>10</v>
      </c>
      <c r="F10" s="25"/>
      <c r="G10" s="25"/>
      <c r="H10" s="25"/>
      <c r="I10" s="25"/>
      <c r="J10" s="25"/>
      <c r="K10" s="25"/>
      <c r="L10" s="25"/>
      <c r="M10" s="25"/>
      <c r="N10" s="25"/>
      <c r="O10" s="25"/>
      <c r="P10" s="25"/>
      <c r="Q10" s="20">
        <f>SUM(E10:P10)</f>
        <v>10</v>
      </c>
      <c r="S10" s="25"/>
      <c r="T10" s="25"/>
      <c r="U10" s="25"/>
      <c r="V10" s="25"/>
      <c r="W10" s="25"/>
      <c r="X10" s="25"/>
      <c r="Y10" s="25"/>
      <c r="Z10" s="25"/>
      <c r="AA10" s="25"/>
      <c r="AB10" s="25"/>
      <c r="AC10" s="25"/>
      <c r="AD10" s="25"/>
      <c r="AE10" s="20">
        <f>SUM(S10:AD10)</f>
        <v>0</v>
      </c>
      <c r="AG10" s="25"/>
      <c r="AH10" s="25"/>
      <c r="AI10" s="25"/>
      <c r="AJ10" s="25"/>
      <c r="AK10" s="25"/>
      <c r="AL10" s="25"/>
      <c r="AM10" s="25"/>
      <c r="AN10" s="25"/>
      <c r="AO10" s="25"/>
      <c r="AP10" s="25"/>
      <c r="AQ10" s="25"/>
      <c r="AR10" s="25"/>
      <c r="AS10" s="20">
        <f t="shared" ref="AS10" si="112">SUM(AG10:AR10)</f>
        <v>0</v>
      </c>
      <c r="AU10" s="25"/>
      <c r="AV10" s="25"/>
      <c r="AW10" s="25"/>
      <c r="AX10" s="25"/>
      <c r="AY10" s="25"/>
      <c r="AZ10" s="25"/>
      <c r="BA10" s="25"/>
      <c r="BB10" s="25"/>
      <c r="BC10" s="25"/>
      <c r="BD10" s="25"/>
      <c r="BE10" s="25"/>
      <c r="BF10" s="25"/>
      <c r="BG10" s="20">
        <f t="shared" ref="BG10" si="113">SUM(AU10:BF10)</f>
        <v>0</v>
      </c>
      <c r="BI10" s="25"/>
      <c r="BJ10" s="25"/>
      <c r="BK10" s="25"/>
      <c r="BL10" s="25"/>
      <c r="BM10" s="25"/>
      <c r="BN10" s="25"/>
      <c r="BO10" s="25"/>
      <c r="BP10" s="25"/>
      <c r="BQ10" s="25"/>
      <c r="BR10" s="25"/>
      <c r="BS10" s="25"/>
      <c r="BT10" s="25"/>
      <c r="BU10" s="20">
        <f t="shared" ref="BU10" si="114">SUM(BI10:BT10)</f>
        <v>0</v>
      </c>
      <c r="BW10" s="25"/>
      <c r="BX10" s="25"/>
      <c r="BY10" s="25"/>
      <c r="BZ10" s="25"/>
      <c r="CA10" s="25"/>
      <c r="CB10" s="25"/>
      <c r="CC10" s="25"/>
      <c r="CD10" s="25"/>
      <c r="CE10" s="25"/>
      <c r="CF10" s="25"/>
      <c r="CG10" s="25"/>
      <c r="CH10" s="25"/>
      <c r="CI10" s="20">
        <f t="shared" ref="CI10" si="115">SUM(BW10:CH10)</f>
        <v>0</v>
      </c>
    </row>
    <row r="11" spans="2:87" x14ac:dyDescent="0.25">
      <c r="B11" s="10"/>
      <c r="C11" s="17" t="s">
        <v>22</v>
      </c>
      <c r="D11" s="10"/>
      <c r="E11" s="25"/>
      <c r="F11" s="25"/>
      <c r="G11" s="25"/>
      <c r="H11" s="25"/>
      <c r="I11" s="25"/>
      <c r="J11" s="25"/>
      <c r="K11" s="25"/>
      <c r="L11" s="25"/>
      <c r="M11" s="25"/>
      <c r="N11" s="25"/>
      <c r="O11" s="25"/>
      <c r="P11" s="25"/>
      <c r="Q11" s="20">
        <f t="shared" ref="Q11:Q19" si="116">SUM(E11:P11)</f>
        <v>0</v>
      </c>
      <c r="S11" s="25"/>
      <c r="T11" s="25"/>
      <c r="U11" s="25"/>
      <c r="V11" s="25"/>
      <c r="W11" s="25"/>
      <c r="X11" s="25"/>
      <c r="Y11" s="25"/>
      <c r="Z11" s="25"/>
      <c r="AA11" s="25"/>
      <c r="AB11" s="25"/>
      <c r="AC11" s="25"/>
      <c r="AD11" s="25"/>
      <c r="AE11" s="20">
        <f t="shared" ref="AE11:AE19" si="117">SUM(S11:AD11)</f>
        <v>0</v>
      </c>
      <c r="AG11" s="25"/>
      <c r="AH11" s="25"/>
      <c r="AI11" s="25"/>
      <c r="AJ11" s="25"/>
      <c r="AK11" s="25"/>
      <c r="AL11" s="25"/>
      <c r="AM11" s="25"/>
      <c r="AN11" s="25"/>
      <c r="AO11" s="25"/>
      <c r="AP11" s="25"/>
      <c r="AQ11" s="25"/>
      <c r="AR11" s="25"/>
      <c r="AS11" s="20">
        <f t="shared" ref="AS11:AS19" si="118">SUM(AG11:AR11)</f>
        <v>0</v>
      </c>
      <c r="AU11" s="25"/>
      <c r="AV11" s="25"/>
      <c r="AW11" s="25"/>
      <c r="AX11" s="25"/>
      <c r="AY11" s="25"/>
      <c r="AZ11" s="25"/>
      <c r="BA11" s="25"/>
      <c r="BB11" s="25"/>
      <c r="BC11" s="25"/>
      <c r="BD11" s="25"/>
      <c r="BE11" s="25"/>
      <c r="BF11" s="25"/>
      <c r="BG11" s="20">
        <f t="shared" ref="BG11:BG19" si="119">SUM(AU11:BF11)</f>
        <v>0</v>
      </c>
      <c r="BI11" s="25"/>
      <c r="BJ11" s="25"/>
      <c r="BK11" s="25"/>
      <c r="BL11" s="25"/>
      <c r="BM11" s="25"/>
      <c r="BN11" s="25"/>
      <c r="BO11" s="25"/>
      <c r="BP11" s="25"/>
      <c r="BQ11" s="25"/>
      <c r="BR11" s="25"/>
      <c r="BS11" s="25"/>
      <c r="BT11" s="25"/>
      <c r="BU11" s="20">
        <f t="shared" ref="BU11:BU19" si="120">SUM(BI11:BT11)</f>
        <v>0</v>
      </c>
      <c r="BW11" s="25"/>
      <c r="BX11" s="25"/>
      <c r="BY11" s="25"/>
      <c r="BZ11" s="25"/>
      <c r="CA11" s="25"/>
      <c r="CB11" s="25"/>
      <c r="CC11" s="25"/>
      <c r="CD11" s="25"/>
      <c r="CE11" s="25"/>
      <c r="CF11" s="25"/>
      <c r="CG11" s="25"/>
      <c r="CH11" s="25"/>
      <c r="CI11" s="20">
        <f t="shared" ref="CI11:CI19" si="121">SUM(BW11:CH11)</f>
        <v>0</v>
      </c>
    </row>
    <row r="12" spans="2:87" x14ac:dyDescent="0.25">
      <c r="B12" s="10"/>
      <c r="C12" s="17" t="s">
        <v>23</v>
      </c>
      <c r="D12" s="10"/>
      <c r="E12" s="25"/>
      <c r="F12" s="25"/>
      <c r="G12" s="25"/>
      <c r="H12" s="25"/>
      <c r="I12" s="25"/>
      <c r="J12" s="25"/>
      <c r="K12" s="25"/>
      <c r="L12" s="25"/>
      <c r="M12" s="25"/>
      <c r="N12" s="25"/>
      <c r="O12" s="25"/>
      <c r="P12" s="25"/>
      <c r="Q12" s="20">
        <f t="shared" si="116"/>
        <v>0</v>
      </c>
      <c r="S12" s="25"/>
      <c r="T12" s="25"/>
      <c r="U12" s="25"/>
      <c r="V12" s="25"/>
      <c r="W12" s="25"/>
      <c r="X12" s="25"/>
      <c r="Y12" s="25"/>
      <c r="Z12" s="25"/>
      <c r="AA12" s="25"/>
      <c r="AB12" s="25"/>
      <c r="AC12" s="25"/>
      <c r="AD12" s="25"/>
      <c r="AE12" s="20">
        <f t="shared" si="117"/>
        <v>0</v>
      </c>
      <c r="AG12" s="25"/>
      <c r="AH12" s="25"/>
      <c r="AI12" s="25"/>
      <c r="AJ12" s="25"/>
      <c r="AK12" s="25"/>
      <c r="AL12" s="25"/>
      <c r="AM12" s="25"/>
      <c r="AN12" s="25"/>
      <c r="AO12" s="25"/>
      <c r="AP12" s="25"/>
      <c r="AQ12" s="25"/>
      <c r="AR12" s="25"/>
      <c r="AS12" s="20">
        <f t="shared" si="118"/>
        <v>0</v>
      </c>
      <c r="AU12" s="25"/>
      <c r="AV12" s="25"/>
      <c r="AW12" s="25"/>
      <c r="AX12" s="25"/>
      <c r="AY12" s="25"/>
      <c r="AZ12" s="25"/>
      <c r="BA12" s="25"/>
      <c r="BB12" s="25"/>
      <c r="BC12" s="25"/>
      <c r="BD12" s="25"/>
      <c r="BE12" s="25"/>
      <c r="BF12" s="25"/>
      <c r="BG12" s="20">
        <f t="shared" si="119"/>
        <v>0</v>
      </c>
      <c r="BI12" s="25"/>
      <c r="BJ12" s="25"/>
      <c r="BK12" s="25"/>
      <c r="BL12" s="25"/>
      <c r="BM12" s="25"/>
      <c r="BN12" s="25"/>
      <c r="BO12" s="25"/>
      <c r="BP12" s="25"/>
      <c r="BQ12" s="25"/>
      <c r="BR12" s="25"/>
      <c r="BS12" s="25"/>
      <c r="BT12" s="25"/>
      <c r="BU12" s="20">
        <f t="shared" si="120"/>
        <v>0</v>
      </c>
      <c r="BW12" s="25"/>
      <c r="BX12" s="25"/>
      <c r="BY12" s="25"/>
      <c r="BZ12" s="25"/>
      <c r="CA12" s="25"/>
      <c r="CB12" s="25"/>
      <c r="CC12" s="25"/>
      <c r="CD12" s="25"/>
      <c r="CE12" s="25"/>
      <c r="CF12" s="25"/>
      <c r="CG12" s="25"/>
      <c r="CH12" s="25"/>
      <c r="CI12" s="20">
        <f t="shared" si="121"/>
        <v>0</v>
      </c>
    </row>
    <row r="13" spans="2:87" x14ac:dyDescent="0.25">
      <c r="B13" s="10"/>
      <c r="C13" s="17" t="s">
        <v>24</v>
      </c>
      <c r="D13" s="10"/>
      <c r="E13" s="25"/>
      <c r="F13" s="25"/>
      <c r="G13" s="25"/>
      <c r="H13" s="25"/>
      <c r="I13" s="25"/>
      <c r="J13" s="25"/>
      <c r="K13" s="25"/>
      <c r="L13" s="25"/>
      <c r="M13" s="25"/>
      <c r="N13" s="25"/>
      <c r="O13" s="25"/>
      <c r="P13" s="25"/>
      <c r="Q13" s="20">
        <f t="shared" si="116"/>
        <v>0</v>
      </c>
      <c r="S13" s="25"/>
      <c r="T13" s="25"/>
      <c r="U13" s="25"/>
      <c r="V13" s="25"/>
      <c r="W13" s="25"/>
      <c r="X13" s="25"/>
      <c r="Y13" s="25"/>
      <c r="Z13" s="25"/>
      <c r="AA13" s="25"/>
      <c r="AB13" s="25"/>
      <c r="AC13" s="25"/>
      <c r="AD13" s="25"/>
      <c r="AE13" s="20">
        <f t="shared" si="117"/>
        <v>0</v>
      </c>
      <c r="AG13" s="25"/>
      <c r="AH13" s="25"/>
      <c r="AI13" s="25"/>
      <c r="AJ13" s="25"/>
      <c r="AK13" s="25"/>
      <c r="AL13" s="25"/>
      <c r="AM13" s="25"/>
      <c r="AN13" s="25"/>
      <c r="AO13" s="25"/>
      <c r="AP13" s="25"/>
      <c r="AQ13" s="25"/>
      <c r="AR13" s="25"/>
      <c r="AS13" s="20">
        <f t="shared" si="118"/>
        <v>0</v>
      </c>
      <c r="AU13" s="25"/>
      <c r="AV13" s="25"/>
      <c r="AW13" s="25"/>
      <c r="AX13" s="25"/>
      <c r="AY13" s="25"/>
      <c r="AZ13" s="25"/>
      <c r="BA13" s="25"/>
      <c r="BB13" s="25"/>
      <c r="BC13" s="25"/>
      <c r="BD13" s="25"/>
      <c r="BE13" s="25"/>
      <c r="BF13" s="25"/>
      <c r="BG13" s="20">
        <f t="shared" si="119"/>
        <v>0</v>
      </c>
      <c r="BI13" s="25"/>
      <c r="BJ13" s="25"/>
      <c r="BK13" s="25"/>
      <c r="BL13" s="25"/>
      <c r="BM13" s="25"/>
      <c r="BN13" s="25"/>
      <c r="BO13" s="25"/>
      <c r="BP13" s="25"/>
      <c r="BQ13" s="25"/>
      <c r="BR13" s="25"/>
      <c r="BS13" s="25"/>
      <c r="BT13" s="25"/>
      <c r="BU13" s="20">
        <f t="shared" si="120"/>
        <v>0</v>
      </c>
      <c r="BW13" s="25"/>
      <c r="BX13" s="25"/>
      <c r="BY13" s="25"/>
      <c r="BZ13" s="25"/>
      <c r="CA13" s="25"/>
      <c r="CB13" s="25"/>
      <c r="CC13" s="25"/>
      <c r="CD13" s="25"/>
      <c r="CE13" s="25"/>
      <c r="CF13" s="25"/>
      <c r="CG13" s="25"/>
      <c r="CH13" s="25"/>
      <c r="CI13" s="20">
        <f t="shared" si="121"/>
        <v>0</v>
      </c>
    </row>
    <row r="14" spans="2:87" x14ac:dyDescent="0.25">
      <c r="B14" s="10"/>
      <c r="C14" s="17" t="s">
        <v>24</v>
      </c>
      <c r="D14" s="10"/>
      <c r="E14" s="25"/>
      <c r="F14" s="25"/>
      <c r="G14" s="25"/>
      <c r="H14" s="25"/>
      <c r="I14" s="25"/>
      <c r="J14" s="25"/>
      <c r="K14" s="25"/>
      <c r="L14" s="25"/>
      <c r="M14" s="25"/>
      <c r="N14" s="25"/>
      <c r="O14" s="25"/>
      <c r="P14" s="25"/>
      <c r="Q14" s="20">
        <f t="shared" si="116"/>
        <v>0</v>
      </c>
      <c r="S14" s="25"/>
      <c r="T14" s="25"/>
      <c r="U14" s="25"/>
      <c r="V14" s="25"/>
      <c r="W14" s="25"/>
      <c r="X14" s="25"/>
      <c r="Y14" s="25"/>
      <c r="Z14" s="25"/>
      <c r="AA14" s="25"/>
      <c r="AB14" s="25"/>
      <c r="AC14" s="25"/>
      <c r="AD14" s="25"/>
      <c r="AE14" s="20">
        <f t="shared" si="117"/>
        <v>0</v>
      </c>
      <c r="AG14" s="25"/>
      <c r="AH14" s="25"/>
      <c r="AI14" s="25"/>
      <c r="AJ14" s="25"/>
      <c r="AK14" s="25"/>
      <c r="AL14" s="25"/>
      <c r="AM14" s="25"/>
      <c r="AN14" s="25"/>
      <c r="AO14" s="25"/>
      <c r="AP14" s="25"/>
      <c r="AQ14" s="25"/>
      <c r="AR14" s="25"/>
      <c r="AS14" s="20">
        <f t="shared" si="118"/>
        <v>0</v>
      </c>
      <c r="AU14" s="25"/>
      <c r="AV14" s="25"/>
      <c r="AW14" s="25"/>
      <c r="AX14" s="25"/>
      <c r="AY14" s="25"/>
      <c r="AZ14" s="25"/>
      <c r="BA14" s="25"/>
      <c r="BB14" s="25"/>
      <c r="BC14" s="25"/>
      <c r="BD14" s="25"/>
      <c r="BE14" s="25"/>
      <c r="BF14" s="25"/>
      <c r="BG14" s="20">
        <f t="shared" si="119"/>
        <v>0</v>
      </c>
      <c r="BI14" s="25"/>
      <c r="BJ14" s="25"/>
      <c r="BK14" s="25"/>
      <c r="BL14" s="25"/>
      <c r="BM14" s="25"/>
      <c r="BN14" s="25"/>
      <c r="BO14" s="25"/>
      <c r="BP14" s="25"/>
      <c r="BQ14" s="25"/>
      <c r="BR14" s="25"/>
      <c r="BS14" s="25"/>
      <c r="BT14" s="25"/>
      <c r="BU14" s="20">
        <f t="shared" si="120"/>
        <v>0</v>
      </c>
      <c r="BW14" s="25"/>
      <c r="BX14" s="25"/>
      <c r="BY14" s="25"/>
      <c r="BZ14" s="25"/>
      <c r="CA14" s="25"/>
      <c r="CB14" s="25"/>
      <c r="CC14" s="25"/>
      <c r="CD14" s="25"/>
      <c r="CE14" s="25"/>
      <c r="CF14" s="25"/>
      <c r="CG14" s="25"/>
      <c r="CH14" s="25"/>
      <c r="CI14" s="20">
        <f t="shared" si="121"/>
        <v>0</v>
      </c>
    </row>
    <row r="15" spans="2:87" x14ac:dyDescent="0.25">
      <c r="C15" s="17" t="s">
        <v>25</v>
      </c>
      <c r="E15" s="25"/>
      <c r="F15" s="25"/>
      <c r="G15" s="25"/>
      <c r="H15" s="25"/>
      <c r="I15" s="25"/>
      <c r="J15" s="25"/>
      <c r="K15" s="25"/>
      <c r="L15" s="25"/>
      <c r="M15" s="25"/>
      <c r="N15" s="25"/>
      <c r="O15" s="25"/>
      <c r="P15" s="25"/>
      <c r="Q15" s="20">
        <f t="shared" ref="Q15" si="122">SUM(E15:P15)</f>
        <v>0</v>
      </c>
      <c r="S15" s="25"/>
      <c r="T15" s="25"/>
      <c r="U15" s="25"/>
      <c r="V15" s="25"/>
      <c r="W15" s="25"/>
      <c r="X15" s="25"/>
      <c r="Y15" s="25"/>
      <c r="Z15" s="25"/>
      <c r="AA15" s="25"/>
      <c r="AB15" s="25"/>
      <c r="AC15" s="25"/>
      <c r="AD15" s="25"/>
      <c r="AE15" s="20">
        <f t="shared" si="117"/>
        <v>0</v>
      </c>
      <c r="AG15" s="25"/>
      <c r="AH15" s="25"/>
      <c r="AI15" s="25"/>
      <c r="AJ15" s="25"/>
      <c r="AK15" s="25"/>
      <c r="AL15" s="25"/>
      <c r="AM15" s="25"/>
      <c r="AN15" s="25"/>
      <c r="AO15" s="25"/>
      <c r="AP15" s="25"/>
      <c r="AQ15" s="25"/>
      <c r="AR15" s="25"/>
      <c r="AS15" s="20">
        <f t="shared" si="118"/>
        <v>0</v>
      </c>
      <c r="AU15" s="25"/>
      <c r="AV15" s="25"/>
      <c r="AW15" s="25"/>
      <c r="AX15" s="25"/>
      <c r="AY15" s="25"/>
      <c r="AZ15" s="25"/>
      <c r="BA15" s="25"/>
      <c r="BB15" s="25"/>
      <c r="BC15" s="25"/>
      <c r="BD15" s="25"/>
      <c r="BE15" s="25"/>
      <c r="BF15" s="25"/>
      <c r="BG15" s="20">
        <f t="shared" si="119"/>
        <v>0</v>
      </c>
      <c r="BI15" s="25"/>
      <c r="BJ15" s="25"/>
      <c r="BK15" s="25"/>
      <c r="BL15" s="25"/>
      <c r="BM15" s="25"/>
      <c r="BN15" s="25"/>
      <c r="BO15" s="25"/>
      <c r="BP15" s="25"/>
      <c r="BQ15" s="25"/>
      <c r="BR15" s="25"/>
      <c r="BS15" s="25"/>
      <c r="BT15" s="25"/>
      <c r="BU15" s="20">
        <f t="shared" si="120"/>
        <v>0</v>
      </c>
      <c r="BW15" s="25"/>
      <c r="BX15" s="25"/>
      <c r="BY15" s="25"/>
      <c r="BZ15" s="25"/>
      <c r="CA15" s="25"/>
      <c r="CB15" s="25"/>
      <c r="CC15" s="25"/>
      <c r="CD15" s="25"/>
      <c r="CE15" s="25"/>
      <c r="CF15" s="25"/>
      <c r="CG15" s="25"/>
      <c r="CH15" s="25"/>
      <c r="CI15" s="20">
        <f t="shared" si="121"/>
        <v>0</v>
      </c>
    </row>
    <row r="16" spans="2:87" x14ac:dyDescent="0.25">
      <c r="B16" s="10"/>
      <c r="C16" s="17" t="s">
        <v>25</v>
      </c>
      <c r="D16" s="10"/>
      <c r="E16" s="25"/>
      <c r="F16" s="25"/>
      <c r="G16" s="25"/>
      <c r="H16" s="25"/>
      <c r="I16" s="25"/>
      <c r="J16" s="25"/>
      <c r="K16" s="25"/>
      <c r="L16" s="25"/>
      <c r="M16" s="25"/>
      <c r="N16" s="25"/>
      <c r="O16" s="25"/>
      <c r="P16" s="25"/>
      <c r="Q16" s="20">
        <f t="shared" si="116"/>
        <v>0</v>
      </c>
      <c r="S16" s="25"/>
      <c r="T16" s="25"/>
      <c r="U16" s="25"/>
      <c r="V16" s="25"/>
      <c r="W16" s="25"/>
      <c r="X16" s="25"/>
      <c r="Y16" s="25"/>
      <c r="Z16" s="25"/>
      <c r="AA16" s="25"/>
      <c r="AB16" s="25"/>
      <c r="AC16" s="25"/>
      <c r="AD16" s="25"/>
      <c r="AE16" s="20">
        <f t="shared" si="117"/>
        <v>0</v>
      </c>
      <c r="AG16" s="25"/>
      <c r="AH16" s="25"/>
      <c r="AI16" s="25"/>
      <c r="AJ16" s="25"/>
      <c r="AK16" s="25"/>
      <c r="AL16" s="25"/>
      <c r="AM16" s="25"/>
      <c r="AN16" s="25"/>
      <c r="AO16" s="25"/>
      <c r="AP16" s="25"/>
      <c r="AQ16" s="25"/>
      <c r="AR16" s="25"/>
      <c r="AS16" s="20">
        <f t="shared" si="118"/>
        <v>0</v>
      </c>
      <c r="AU16" s="25"/>
      <c r="AV16" s="25"/>
      <c r="AW16" s="25"/>
      <c r="AX16" s="25"/>
      <c r="AY16" s="25"/>
      <c r="AZ16" s="25"/>
      <c r="BA16" s="25"/>
      <c r="BB16" s="25"/>
      <c r="BC16" s="25"/>
      <c r="BD16" s="25"/>
      <c r="BE16" s="25"/>
      <c r="BF16" s="25"/>
      <c r="BG16" s="20">
        <f t="shared" si="119"/>
        <v>0</v>
      </c>
      <c r="BI16" s="25"/>
      <c r="BJ16" s="25"/>
      <c r="BK16" s="25"/>
      <c r="BL16" s="25"/>
      <c r="BM16" s="25"/>
      <c r="BN16" s="25"/>
      <c r="BO16" s="25"/>
      <c r="BP16" s="25"/>
      <c r="BQ16" s="25"/>
      <c r="BR16" s="25"/>
      <c r="BS16" s="25"/>
      <c r="BT16" s="25"/>
      <c r="BU16" s="20">
        <f t="shared" si="120"/>
        <v>0</v>
      </c>
      <c r="BW16" s="25"/>
      <c r="BX16" s="25"/>
      <c r="BY16" s="25"/>
      <c r="BZ16" s="25"/>
      <c r="CA16" s="25"/>
      <c r="CB16" s="25"/>
      <c r="CC16" s="25"/>
      <c r="CD16" s="25"/>
      <c r="CE16" s="25"/>
      <c r="CF16" s="25"/>
      <c r="CG16" s="25"/>
      <c r="CH16" s="25"/>
      <c r="CI16" s="20">
        <f t="shared" si="121"/>
        <v>0</v>
      </c>
    </row>
    <row r="17" spans="3:87" x14ac:dyDescent="0.25">
      <c r="C17" s="17" t="s">
        <v>25</v>
      </c>
      <c r="E17" s="25"/>
      <c r="F17" s="25"/>
      <c r="G17" s="25"/>
      <c r="H17" s="25"/>
      <c r="I17" s="25"/>
      <c r="J17" s="25"/>
      <c r="K17" s="25"/>
      <c r="L17" s="25"/>
      <c r="M17" s="25"/>
      <c r="N17" s="25"/>
      <c r="O17" s="25"/>
      <c r="P17" s="25"/>
      <c r="Q17" s="20">
        <f t="shared" ref="Q17" si="123">SUM(E17:P17)</f>
        <v>0</v>
      </c>
      <c r="S17" s="25"/>
      <c r="T17" s="25"/>
      <c r="U17" s="25"/>
      <c r="V17" s="25"/>
      <c r="W17" s="25"/>
      <c r="X17" s="25"/>
      <c r="Y17" s="25"/>
      <c r="Z17" s="25"/>
      <c r="AA17" s="25"/>
      <c r="AB17" s="25"/>
      <c r="AC17" s="25"/>
      <c r="AD17" s="25"/>
      <c r="AE17" s="20">
        <f t="shared" si="117"/>
        <v>0</v>
      </c>
      <c r="AG17" s="25"/>
      <c r="AH17" s="25"/>
      <c r="AI17" s="25"/>
      <c r="AJ17" s="25"/>
      <c r="AK17" s="25"/>
      <c r="AL17" s="25"/>
      <c r="AM17" s="25"/>
      <c r="AN17" s="25"/>
      <c r="AO17" s="25"/>
      <c r="AP17" s="25"/>
      <c r="AQ17" s="25"/>
      <c r="AR17" s="25"/>
      <c r="AS17" s="20">
        <f t="shared" si="118"/>
        <v>0</v>
      </c>
      <c r="AU17" s="25"/>
      <c r="AV17" s="25"/>
      <c r="AW17" s="25"/>
      <c r="AX17" s="25"/>
      <c r="AY17" s="25"/>
      <c r="AZ17" s="25"/>
      <c r="BA17" s="25"/>
      <c r="BB17" s="25"/>
      <c r="BC17" s="25"/>
      <c r="BD17" s="25"/>
      <c r="BE17" s="25"/>
      <c r="BF17" s="25"/>
      <c r="BG17" s="20">
        <f t="shared" si="119"/>
        <v>0</v>
      </c>
      <c r="BI17" s="25"/>
      <c r="BJ17" s="25"/>
      <c r="BK17" s="25"/>
      <c r="BL17" s="25"/>
      <c r="BM17" s="25"/>
      <c r="BN17" s="25"/>
      <c r="BO17" s="25"/>
      <c r="BP17" s="25"/>
      <c r="BQ17" s="25"/>
      <c r="BR17" s="25"/>
      <c r="BS17" s="25"/>
      <c r="BT17" s="25"/>
      <c r="BU17" s="20">
        <f t="shared" si="120"/>
        <v>0</v>
      </c>
      <c r="BW17" s="25"/>
      <c r="BX17" s="25"/>
      <c r="BY17" s="25"/>
      <c r="BZ17" s="25"/>
      <c r="CA17" s="25"/>
      <c r="CB17" s="25"/>
      <c r="CC17" s="25"/>
      <c r="CD17" s="25"/>
      <c r="CE17" s="25"/>
      <c r="CF17" s="25"/>
      <c r="CG17" s="25"/>
      <c r="CH17" s="25"/>
      <c r="CI17" s="20">
        <f t="shared" si="121"/>
        <v>0</v>
      </c>
    </row>
    <row r="18" spans="3:87" x14ac:dyDescent="0.25">
      <c r="C18" s="17" t="s">
        <v>25</v>
      </c>
      <c r="E18" s="25"/>
      <c r="F18" s="25"/>
      <c r="G18" s="25"/>
      <c r="H18" s="25"/>
      <c r="I18" s="25"/>
      <c r="J18" s="25"/>
      <c r="K18" s="25"/>
      <c r="L18" s="25"/>
      <c r="M18" s="25"/>
      <c r="N18" s="25"/>
      <c r="O18" s="25"/>
      <c r="P18" s="25"/>
      <c r="Q18" s="20">
        <f t="shared" si="116"/>
        <v>0</v>
      </c>
      <c r="S18" s="25"/>
      <c r="T18" s="25"/>
      <c r="U18" s="25"/>
      <c r="V18" s="25"/>
      <c r="W18" s="25"/>
      <c r="X18" s="25"/>
      <c r="Y18" s="25"/>
      <c r="Z18" s="25"/>
      <c r="AA18" s="25"/>
      <c r="AB18" s="25"/>
      <c r="AC18" s="25"/>
      <c r="AD18" s="25"/>
      <c r="AE18" s="20">
        <f t="shared" si="117"/>
        <v>0</v>
      </c>
      <c r="AG18" s="25"/>
      <c r="AH18" s="25"/>
      <c r="AI18" s="25"/>
      <c r="AJ18" s="25"/>
      <c r="AK18" s="25"/>
      <c r="AL18" s="25"/>
      <c r="AM18" s="25"/>
      <c r="AN18" s="25"/>
      <c r="AO18" s="25"/>
      <c r="AP18" s="25"/>
      <c r="AQ18" s="25"/>
      <c r="AR18" s="25"/>
      <c r="AS18" s="20">
        <f t="shared" si="118"/>
        <v>0</v>
      </c>
      <c r="AU18" s="25"/>
      <c r="AV18" s="25"/>
      <c r="AW18" s="25"/>
      <c r="AX18" s="25"/>
      <c r="AY18" s="25"/>
      <c r="AZ18" s="25"/>
      <c r="BA18" s="25"/>
      <c r="BB18" s="25"/>
      <c r="BC18" s="25"/>
      <c r="BD18" s="25"/>
      <c r="BE18" s="25"/>
      <c r="BF18" s="25"/>
      <c r="BG18" s="20">
        <f t="shared" si="119"/>
        <v>0</v>
      </c>
      <c r="BI18" s="25"/>
      <c r="BJ18" s="25"/>
      <c r="BK18" s="25"/>
      <c r="BL18" s="25"/>
      <c r="BM18" s="25"/>
      <c r="BN18" s="25"/>
      <c r="BO18" s="25"/>
      <c r="BP18" s="25"/>
      <c r="BQ18" s="25"/>
      <c r="BR18" s="25"/>
      <c r="BS18" s="25"/>
      <c r="BT18" s="25"/>
      <c r="BU18" s="20">
        <f t="shared" si="120"/>
        <v>0</v>
      </c>
      <c r="BW18" s="25"/>
      <c r="BX18" s="25"/>
      <c r="BY18" s="25"/>
      <c r="BZ18" s="25"/>
      <c r="CA18" s="25"/>
      <c r="CB18" s="25"/>
      <c r="CC18" s="25"/>
      <c r="CD18" s="25"/>
      <c r="CE18" s="25"/>
      <c r="CF18" s="25"/>
      <c r="CG18" s="25"/>
      <c r="CH18" s="25"/>
      <c r="CI18" s="20">
        <f t="shared" si="121"/>
        <v>0</v>
      </c>
    </row>
    <row r="19" spans="3:87" x14ac:dyDescent="0.25">
      <c r="C19" s="17" t="s">
        <v>25</v>
      </c>
      <c r="E19" s="25"/>
      <c r="F19" s="25"/>
      <c r="G19" s="25"/>
      <c r="H19" s="25"/>
      <c r="I19" s="25"/>
      <c r="J19" s="25"/>
      <c r="K19" s="25"/>
      <c r="L19" s="25"/>
      <c r="M19" s="25"/>
      <c r="N19" s="25"/>
      <c r="O19" s="25"/>
      <c r="P19" s="25"/>
      <c r="Q19" s="20">
        <f t="shared" si="116"/>
        <v>0</v>
      </c>
      <c r="S19" s="25"/>
      <c r="T19" s="25"/>
      <c r="U19" s="25"/>
      <c r="V19" s="25"/>
      <c r="W19" s="25"/>
      <c r="X19" s="25"/>
      <c r="Y19" s="25"/>
      <c r="Z19" s="25"/>
      <c r="AA19" s="25"/>
      <c r="AB19" s="25"/>
      <c r="AC19" s="25"/>
      <c r="AD19" s="25"/>
      <c r="AE19" s="20">
        <f t="shared" si="117"/>
        <v>0</v>
      </c>
      <c r="AG19" s="25"/>
      <c r="AH19" s="25"/>
      <c r="AI19" s="25"/>
      <c r="AJ19" s="25"/>
      <c r="AK19" s="25"/>
      <c r="AL19" s="25"/>
      <c r="AM19" s="25"/>
      <c r="AN19" s="25"/>
      <c r="AO19" s="25"/>
      <c r="AP19" s="25"/>
      <c r="AQ19" s="25"/>
      <c r="AR19" s="25"/>
      <c r="AS19" s="20">
        <f t="shared" si="118"/>
        <v>0</v>
      </c>
      <c r="AU19" s="25"/>
      <c r="AV19" s="25"/>
      <c r="AW19" s="25"/>
      <c r="AX19" s="25"/>
      <c r="AY19" s="25"/>
      <c r="AZ19" s="25"/>
      <c r="BA19" s="25"/>
      <c r="BB19" s="25"/>
      <c r="BC19" s="25"/>
      <c r="BD19" s="25"/>
      <c r="BE19" s="25"/>
      <c r="BF19" s="25"/>
      <c r="BG19" s="20">
        <f t="shared" si="119"/>
        <v>0</v>
      </c>
      <c r="BI19" s="25"/>
      <c r="BJ19" s="25"/>
      <c r="BK19" s="25"/>
      <c r="BL19" s="25"/>
      <c r="BM19" s="25"/>
      <c r="BN19" s="25"/>
      <c r="BO19" s="25"/>
      <c r="BP19" s="25"/>
      <c r="BQ19" s="25"/>
      <c r="BR19" s="25"/>
      <c r="BS19" s="25"/>
      <c r="BT19" s="25"/>
      <c r="BU19" s="20">
        <f t="shared" si="120"/>
        <v>0</v>
      </c>
      <c r="BW19" s="25"/>
      <c r="BX19" s="25"/>
      <c r="BY19" s="25"/>
      <c r="BZ19" s="25"/>
      <c r="CA19" s="25"/>
      <c r="CB19" s="25"/>
      <c r="CC19" s="25"/>
      <c r="CD19" s="25"/>
      <c r="CE19" s="25"/>
      <c r="CF19" s="25"/>
      <c r="CG19" s="25"/>
      <c r="CH19" s="25"/>
      <c r="CI19" s="20">
        <f t="shared" si="121"/>
        <v>0</v>
      </c>
    </row>
    <row r="20" spans="3:87" ht="14.25" customHeight="1" x14ac:dyDescent="0.25">
      <c r="C20" s="15" t="s">
        <v>26</v>
      </c>
      <c r="E20" s="26" cm="1">
        <f t="array" aca="1" ref="E20" ca="1">SUM(INDIRECT(ADDRESS(Income_Min_Row,COLUMN())&amp;":"&amp;ADDRESS(Income_Max_Row,COLUMN())))</f>
        <v>10</v>
      </c>
      <c r="F20" s="26" cm="1">
        <f t="array" aca="1" ref="F20" ca="1">SUM(INDIRECT(ADDRESS(Income_Min_Row,COLUMN())&amp;":"&amp;ADDRESS(Income_Max_Row,COLUMN())))</f>
        <v>0</v>
      </c>
      <c r="G20" s="26" cm="1">
        <f t="array" aca="1" ref="G20" ca="1">SUM(INDIRECT(ADDRESS(Income_Min_Row,COLUMN())&amp;":"&amp;ADDRESS(Income_Max_Row,COLUMN())))</f>
        <v>0</v>
      </c>
      <c r="H20" s="26" cm="1">
        <f t="array" aca="1" ref="H20" ca="1">SUM(INDIRECT(ADDRESS(Income_Min_Row,COLUMN())&amp;":"&amp;ADDRESS(Income_Max_Row,COLUMN())))</f>
        <v>0</v>
      </c>
      <c r="I20" s="26" cm="1">
        <f t="array" aca="1" ref="I20" ca="1">SUM(INDIRECT(ADDRESS(Income_Min_Row,COLUMN())&amp;":"&amp;ADDRESS(Income_Max_Row,COLUMN())))</f>
        <v>0</v>
      </c>
      <c r="J20" s="26" cm="1">
        <f t="array" aca="1" ref="J20" ca="1">SUM(INDIRECT(ADDRESS(Income_Min_Row,COLUMN())&amp;":"&amp;ADDRESS(Income_Max_Row,COLUMN())))</f>
        <v>0</v>
      </c>
      <c r="K20" s="26" cm="1">
        <f t="array" aca="1" ref="K20" ca="1">SUM(INDIRECT(ADDRESS(Income_Min_Row,COLUMN())&amp;":"&amp;ADDRESS(Income_Max_Row,COLUMN())))</f>
        <v>0</v>
      </c>
      <c r="L20" s="26" cm="1">
        <f t="array" aca="1" ref="L20" ca="1">SUM(INDIRECT(ADDRESS(Income_Min_Row,COLUMN())&amp;":"&amp;ADDRESS(Income_Max_Row,COLUMN())))</f>
        <v>0</v>
      </c>
      <c r="M20" s="26" cm="1">
        <f t="array" aca="1" ref="M20" ca="1">SUM(INDIRECT(ADDRESS(Income_Min_Row,COLUMN())&amp;":"&amp;ADDRESS(Income_Max_Row,COLUMN())))</f>
        <v>0</v>
      </c>
      <c r="N20" s="26" cm="1">
        <f t="array" aca="1" ref="N20" ca="1">SUM(INDIRECT(ADDRESS(Income_Min_Row,COLUMN())&amp;":"&amp;ADDRESS(Income_Max_Row,COLUMN())))</f>
        <v>0</v>
      </c>
      <c r="O20" s="26" cm="1">
        <f t="array" aca="1" ref="O20" ca="1">SUM(INDIRECT(ADDRESS(Income_Min_Row,COLUMN())&amp;":"&amp;ADDRESS(Income_Max_Row,COLUMN())))</f>
        <v>0</v>
      </c>
      <c r="P20" s="26" cm="1">
        <f t="array" aca="1" ref="P20" ca="1">SUM(INDIRECT(ADDRESS(Income_Min_Row,COLUMN())&amp;":"&amp;ADDRESS(Income_Max_Row,COLUMN())))</f>
        <v>0</v>
      </c>
      <c r="Q20" s="20" cm="1">
        <f t="array" aca="1" ref="Q20" ca="1">SUM(INDIRECT(ADDRESS(Income_Min_Row,COLUMN())&amp;":"&amp;ADDRESS(Income_Max_Row,COLUMN())))</f>
        <v>10</v>
      </c>
      <c r="S20" s="26" cm="1">
        <f t="array" aca="1" ref="S20" ca="1">SUM(INDIRECT(ADDRESS(Income_Min_Row,COLUMN())&amp;":"&amp;ADDRESS(Income_Max_Row,COLUMN())))</f>
        <v>0</v>
      </c>
      <c r="T20" s="26" cm="1">
        <f t="array" aca="1" ref="T20" ca="1">SUM(INDIRECT(ADDRESS(Income_Min_Row,COLUMN())&amp;":"&amp;ADDRESS(Income_Max_Row,COLUMN())))</f>
        <v>0</v>
      </c>
      <c r="U20" s="26" cm="1">
        <f t="array" aca="1" ref="U20" ca="1">SUM(INDIRECT(ADDRESS(Income_Min_Row,COLUMN())&amp;":"&amp;ADDRESS(Income_Max_Row,COLUMN())))</f>
        <v>0</v>
      </c>
      <c r="V20" s="26" cm="1">
        <f t="array" aca="1" ref="V20" ca="1">SUM(INDIRECT(ADDRESS(Income_Min_Row,COLUMN())&amp;":"&amp;ADDRESS(Income_Max_Row,COLUMN())))</f>
        <v>0</v>
      </c>
      <c r="W20" s="26" cm="1">
        <f t="array" aca="1" ref="W20" ca="1">SUM(INDIRECT(ADDRESS(Income_Min_Row,COLUMN())&amp;":"&amp;ADDRESS(Income_Max_Row,COLUMN())))</f>
        <v>0</v>
      </c>
      <c r="X20" s="26" cm="1">
        <f t="array" aca="1" ref="X20" ca="1">SUM(INDIRECT(ADDRESS(Income_Min_Row,COLUMN())&amp;":"&amp;ADDRESS(Income_Max_Row,COLUMN())))</f>
        <v>0</v>
      </c>
      <c r="Y20" s="26" cm="1">
        <f t="array" aca="1" ref="Y20" ca="1">SUM(INDIRECT(ADDRESS(Income_Min_Row,COLUMN())&amp;":"&amp;ADDRESS(Income_Max_Row,COLUMN())))</f>
        <v>0</v>
      </c>
      <c r="Z20" s="26" cm="1">
        <f t="array" aca="1" ref="Z20" ca="1">SUM(INDIRECT(ADDRESS(Income_Min_Row,COLUMN())&amp;":"&amp;ADDRESS(Income_Max_Row,COLUMN())))</f>
        <v>0</v>
      </c>
      <c r="AA20" s="26" cm="1">
        <f t="array" aca="1" ref="AA20" ca="1">SUM(INDIRECT(ADDRESS(Income_Min_Row,COLUMN())&amp;":"&amp;ADDRESS(Income_Max_Row,COLUMN())))</f>
        <v>0</v>
      </c>
      <c r="AB20" s="26" cm="1">
        <f t="array" aca="1" ref="AB20" ca="1">SUM(INDIRECT(ADDRESS(Income_Min_Row,COLUMN())&amp;":"&amp;ADDRESS(Income_Max_Row,COLUMN())))</f>
        <v>0</v>
      </c>
      <c r="AC20" s="26" cm="1">
        <f t="array" aca="1" ref="AC20" ca="1">SUM(INDIRECT(ADDRESS(Income_Min_Row,COLUMN())&amp;":"&amp;ADDRESS(Income_Max_Row,COLUMN())))</f>
        <v>0</v>
      </c>
      <c r="AD20" s="26" cm="1">
        <f t="array" aca="1" ref="AD20" ca="1">SUM(INDIRECT(ADDRESS(Income_Min_Row,COLUMN())&amp;":"&amp;ADDRESS(Income_Max_Row,COLUMN())))</f>
        <v>0</v>
      </c>
      <c r="AE20" s="20" cm="1">
        <f t="array" aca="1" ref="AE20" ca="1">SUM(INDIRECT(ADDRESS(Income_Min_Row,COLUMN())&amp;":"&amp;ADDRESS(Income_Max_Row,COLUMN())))</f>
        <v>0</v>
      </c>
      <c r="AG20" s="26" cm="1">
        <f t="array" aca="1" ref="AG20" ca="1">SUM(INDIRECT(ADDRESS(Income_Min_Row,COLUMN())&amp;":"&amp;ADDRESS(Income_Max_Row,COLUMN())))</f>
        <v>0</v>
      </c>
      <c r="AH20" s="26" cm="1">
        <f t="array" aca="1" ref="AH20" ca="1">SUM(INDIRECT(ADDRESS(Income_Min_Row,COLUMN())&amp;":"&amp;ADDRESS(Income_Max_Row,COLUMN())))</f>
        <v>0</v>
      </c>
      <c r="AI20" s="26" cm="1">
        <f t="array" aca="1" ref="AI20" ca="1">SUM(INDIRECT(ADDRESS(Income_Min_Row,COLUMN())&amp;":"&amp;ADDRESS(Income_Max_Row,COLUMN())))</f>
        <v>0</v>
      </c>
      <c r="AJ20" s="26" cm="1">
        <f t="array" aca="1" ref="AJ20" ca="1">SUM(INDIRECT(ADDRESS(Income_Min_Row,COLUMN())&amp;":"&amp;ADDRESS(Income_Max_Row,COLUMN())))</f>
        <v>0</v>
      </c>
      <c r="AK20" s="26" cm="1">
        <f t="array" aca="1" ref="AK20" ca="1">SUM(INDIRECT(ADDRESS(Income_Min_Row,COLUMN())&amp;":"&amp;ADDRESS(Income_Max_Row,COLUMN())))</f>
        <v>0</v>
      </c>
      <c r="AL20" s="26" cm="1">
        <f t="array" aca="1" ref="AL20" ca="1">SUM(INDIRECT(ADDRESS(Income_Min_Row,COLUMN())&amp;":"&amp;ADDRESS(Income_Max_Row,COLUMN())))</f>
        <v>0</v>
      </c>
      <c r="AM20" s="26" cm="1">
        <f t="array" aca="1" ref="AM20" ca="1">SUM(INDIRECT(ADDRESS(Income_Min_Row,COLUMN())&amp;":"&amp;ADDRESS(Income_Max_Row,COLUMN())))</f>
        <v>0</v>
      </c>
      <c r="AN20" s="26" cm="1">
        <f t="array" aca="1" ref="AN20" ca="1">SUM(INDIRECT(ADDRESS(Income_Min_Row,COLUMN())&amp;":"&amp;ADDRESS(Income_Max_Row,COLUMN())))</f>
        <v>0</v>
      </c>
      <c r="AO20" s="26" cm="1">
        <f t="array" aca="1" ref="AO20" ca="1">SUM(INDIRECT(ADDRESS(Income_Min_Row,COLUMN())&amp;":"&amp;ADDRESS(Income_Max_Row,COLUMN())))</f>
        <v>0</v>
      </c>
      <c r="AP20" s="26" cm="1">
        <f t="array" aca="1" ref="AP20" ca="1">SUM(INDIRECT(ADDRESS(Income_Min_Row,COLUMN())&amp;":"&amp;ADDRESS(Income_Max_Row,COLUMN())))</f>
        <v>0</v>
      </c>
      <c r="AQ20" s="26" cm="1">
        <f t="array" aca="1" ref="AQ20" ca="1">SUM(INDIRECT(ADDRESS(Income_Min_Row,COLUMN())&amp;":"&amp;ADDRESS(Income_Max_Row,COLUMN())))</f>
        <v>0</v>
      </c>
      <c r="AR20" s="26" cm="1">
        <f t="array" aca="1" ref="AR20" ca="1">SUM(INDIRECT(ADDRESS(Income_Min_Row,COLUMN())&amp;":"&amp;ADDRESS(Income_Max_Row,COLUMN())))</f>
        <v>0</v>
      </c>
      <c r="AS20" s="20" cm="1">
        <f t="array" aca="1" ref="AS20" ca="1">SUM(INDIRECT(ADDRESS(Income_Min_Row,COLUMN())&amp;":"&amp;ADDRESS(Income_Max_Row,COLUMN())))</f>
        <v>0</v>
      </c>
      <c r="AU20" s="26" cm="1">
        <f t="array" aca="1" ref="AU20" ca="1">SUM(INDIRECT(ADDRESS(Income_Min_Row,COLUMN())&amp;":"&amp;ADDRESS(Income_Max_Row,COLUMN())))</f>
        <v>0</v>
      </c>
      <c r="AV20" s="26" cm="1">
        <f t="array" aca="1" ref="AV20" ca="1">SUM(INDIRECT(ADDRESS(Income_Min_Row,COLUMN())&amp;":"&amp;ADDRESS(Income_Max_Row,COLUMN())))</f>
        <v>0</v>
      </c>
      <c r="AW20" s="26" cm="1">
        <f t="array" aca="1" ref="AW20" ca="1">SUM(INDIRECT(ADDRESS(Income_Min_Row,COLUMN())&amp;":"&amp;ADDRESS(Income_Max_Row,COLUMN())))</f>
        <v>0</v>
      </c>
      <c r="AX20" s="26" cm="1">
        <f t="array" aca="1" ref="AX20" ca="1">SUM(INDIRECT(ADDRESS(Income_Min_Row,COLUMN())&amp;":"&amp;ADDRESS(Income_Max_Row,COLUMN())))</f>
        <v>0</v>
      </c>
      <c r="AY20" s="26" cm="1">
        <f t="array" aca="1" ref="AY20" ca="1">SUM(INDIRECT(ADDRESS(Income_Min_Row,COLUMN())&amp;":"&amp;ADDRESS(Income_Max_Row,COLUMN())))</f>
        <v>0</v>
      </c>
      <c r="AZ20" s="26" cm="1">
        <f t="array" aca="1" ref="AZ20" ca="1">SUM(INDIRECT(ADDRESS(Income_Min_Row,COLUMN())&amp;":"&amp;ADDRESS(Income_Max_Row,COLUMN())))</f>
        <v>0</v>
      </c>
      <c r="BA20" s="26" cm="1">
        <f t="array" aca="1" ref="BA20" ca="1">SUM(INDIRECT(ADDRESS(Income_Min_Row,COLUMN())&amp;":"&amp;ADDRESS(Income_Max_Row,COLUMN())))</f>
        <v>0</v>
      </c>
      <c r="BB20" s="26" cm="1">
        <f t="array" aca="1" ref="BB20" ca="1">SUM(INDIRECT(ADDRESS(Income_Min_Row,COLUMN())&amp;":"&amp;ADDRESS(Income_Max_Row,COLUMN())))</f>
        <v>0</v>
      </c>
      <c r="BC20" s="26" cm="1">
        <f t="array" aca="1" ref="BC20" ca="1">SUM(INDIRECT(ADDRESS(Income_Min_Row,COLUMN())&amp;":"&amp;ADDRESS(Income_Max_Row,COLUMN())))</f>
        <v>0</v>
      </c>
      <c r="BD20" s="26" cm="1">
        <f t="array" aca="1" ref="BD20" ca="1">SUM(INDIRECT(ADDRESS(Income_Min_Row,COLUMN())&amp;":"&amp;ADDRESS(Income_Max_Row,COLUMN())))</f>
        <v>0</v>
      </c>
      <c r="BE20" s="26" cm="1">
        <f t="array" aca="1" ref="BE20" ca="1">SUM(INDIRECT(ADDRESS(Income_Min_Row,COLUMN())&amp;":"&amp;ADDRESS(Income_Max_Row,COLUMN())))</f>
        <v>0</v>
      </c>
      <c r="BF20" s="26" cm="1">
        <f t="array" aca="1" ref="BF20" ca="1">SUM(INDIRECT(ADDRESS(Income_Min_Row,COLUMN())&amp;":"&amp;ADDRESS(Income_Max_Row,COLUMN())))</f>
        <v>0</v>
      </c>
      <c r="BG20" s="20" cm="1">
        <f t="array" aca="1" ref="BG20" ca="1">SUM(INDIRECT(ADDRESS(Income_Min_Row,COLUMN())&amp;":"&amp;ADDRESS(Income_Max_Row,COLUMN())))</f>
        <v>0</v>
      </c>
      <c r="BI20" s="26" cm="1">
        <f t="array" aca="1" ref="BI20" ca="1">SUM(INDIRECT(ADDRESS(Income_Min_Row,COLUMN())&amp;":"&amp;ADDRESS(Income_Max_Row,COLUMN())))</f>
        <v>0</v>
      </c>
      <c r="BJ20" s="26" cm="1">
        <f t="array" aca="1" ref="BJ20" ca="1">SUM(INDIRECT(ADDRESS(Income_Min_Row,COLUMN())&amp;":"&amp;ADDRESS(Income_Max_Row,COLUMN())))</f>
        <v>0</v>
      </c>
      <c r="BK20" s="26" cm="1">
        <f t="array" aca="1" ref="BK20" ca="1">SUM(INDIRECT(ADDRESS(Income_Min_Row,COLUMN())&amp;":"&amp;ADDRESS(Income_Max_Row,COLUMN())))</f>
        <v>0</v>
      </c>
      <c r="BL20" s="26" cm="1">
        <f t="array" aca="1" ref="BL20" ca="1">SUM(INDIRECT(ADDRESS(Income_Min_Row,COLUMN())&amp;":"&amp;ADDRESS(Income_Max_Row,COLUMN())))</f>
        <v>0</v>
      </c>
      <c r="BM20" s="26" cm="1">
        <f t="array" aca="1" ref="BM20" ca="1">SUM(INDIRECT(ADDRESS(Income_Min_Row,COLUMN())&amp;":"&amp;ADDRESS(Income_Max_Row,COLUMN())))</f>
        <v>0</v>
      </c>
      <c r="BN20" s="26" cm="1">
        <f t="array" aca="1" ref="BN20" ca="1">SUM(INDIRECT(ADDRESS(Income_Min_Row,COLUMN())&amp;":"&amp;ADDRESS(Income_Max_Row,COLUMN())))</f>
        <v>0</v>
      </c>
      <c r="BO20" s="26" cm="1">
        <f t="array" aca="1" ref="BO20" ca="1">SUM(INDIRECT(ADDRESS(Income_Min_Row,COLUMN())&amp;":"&amp;ADDRESS(Income_Max_Row,COLUMN())))</f>
        <v>0</v>
      </c>
      <c r="BP20" s="26" cm="1">
        <f t="array" aca="1" ref="BP20" ca="1">SUM(INDIRECT(ADDRESS(Income_Min_Row,COLUMN())&amp;":"&amp;ADDRESS(Income_Max_Row,COLUMN())))</f>
        <v>0</v>
      </c>
      <c r="BQ20" s="26" cm="1">
        <f t="array" aca="1" ref="BQ20" ca="1">SUM(INDIRECT(ADDRESS(Income_Min_Row,COLUMN())&amp;":"&amp;ADDRESS(Income_Max_Row,COLUMN())))</f>
        <v>0</v>
      </c>
      <c r="BR20" s="26" cm="1">
        <f t="array" aca="1" ref="BR20" ca="1">SUM(INDIRECT(ADDRESS(Income_Min_Row,COLUMN())&amp;":"&amp;ADDRESS(Income_Max_Row,COLUMN())))</f>
        <v>0</v>
      </c>
      <c r="BS20" s="26" cm="1">
        <f t="array" aca="1" ref="BS20" ca="1">SUM(INDIRECT(ADDRESS(Income_Min_Row,COLUMN())&amp;":"&amp;ADDRESS(Income_Max_Row,COLUMN())))</f>
        <v>0</v>
      </c>
      <c r="BT20" s="26" cm="1">
        <f t="array" aca="1" ref="BT20" ca="1">SUM(INDIRECT(ADDRESS(Income_Min_Row,COLUMN())&amp;":"&amp;ADDRESS(Income_Max_Row,COLUMN())))</f>
        <v>0</v>
      </c>
      <c r="BU20" s="20" cm="1">
        <f t="array" aca="1" ref="BU20" ca="1">SUM(INDIRECT(ADDRESS(Income_Min_Row,COLUMN())&amp;":"&amp;ADDRESS(Income_Max_Row,COLUMN())))</f>
        <v>0</v>
      </c>
      <c r="BW20" s="26" cm="1">
        <f t="array" aca="1" ref="BW20" ca="1">SUM(INDIRECT(ADDRESS(Income_Min_Row,COLUMN())&amp;":"&amp;ADDRESS(Income_Max_Row,COLUMN())))</f>
        <v>0</v>
      </c>
      <c r="BX20" s="26" cm="1">
        <f t="array" aca="1" ref="BX20" ca="1">SUM(INDIRECT(ADDRESS(Income_Min_Row,COLUMN())&amp;":"&amp;ADDRESS(Income_Max_Row,COLUMN())))</f>
        <v>0</v>
      </c>
      <c r="BY20" s="26" cm="1">
        <f t="array" aca="1" ref="BY20" ca="1">SUM(INDIRECT(ADDRESS(Income_Min_Row,COLUMN())&amp;":"&amp;ADDRESS(Income_Max_Row,COLUMN())))</f>
        <v>0</v>
      </c>
      <c r="BZ20" s="26" cm="1">
        <f t="array" aca="1" ref="BZ20" ca="1">SUM(INDIRECT(ADDRESS(Income_Min_Row,COLUMN())&amp;":"&amp;ADDRESS(Income_Max_Row,COLUMN())))</f>
        <v>0</v>
      </c>
      <c r="CA20" s="26" cm="1">
        <f t="array" aca="1" ref="CA20" ca="1">SUM(INDIRECT(ADDRESS(Income_Min_Row,COLUMN())&amp;":"&amp;ADDRESS(Income_Max_Row,COLUMN())))</f>
        <v>0</v>
      </c>
      <c r="CB20" s="26" cm="1">
        <f t="array" aca="1" ref="CB20" ca="1">SUM(INDIRECT(ADDRESS(Income_Min_Row,COLUMN())&amp;":"&amp;ADDRESS(Income_Max_Row,COLUMN())))</f>
        <v>0</v>
      </c>
      <c r="CC20" s="26" cm="1">
        <f t="array" aca="1" ref="CC20" ca="1">SUM(INDIRECT(ADDRESS(Income_Min_Row,COLUMN())&amp;":"&amp;ADDRESS(Income_Max_Row,COLUMN())))</f>
        <v>0</v>
      </c>
      <c r="CD20" s="26" cm="1">
        <f t="array" aca="1" ref="CD20" ca="1">SUM(INDIRECT(ADDRESS(Income_Min_Row,COLUMN())&amp;":"&amp;ADDRESS(Income_Max_Row,COLUMN())))</f>
        <v>0</v>
      </c>
      <c r="CE20" s="26" cm="1">
        <f t="array" aca="1" ref="CE20" ca="1">SUM(INDIRECT(ADDRESS(Income_Min_Row,COLUMN())&amp;":"&amp;ADDRESS(Income_Max_Row,COLUMN())))</f>
        <v>0</v>
      </c>
      <c r="CF20" s="26" cm="1">
        <f t="array" aca="1" ref="CF20" ca="1">SUM(INDIRECT(ADDRESS(Income_Min_Row,COLUMN())&amp;":"&amp;ADDRESS(Income_Max_Row,COLUMN())))</f>
        <v>0</v>
      </c>
      <c r="CG20" s="26" cm="1">
        <f t="array" aca="1" ref="CG20" ca="1">SUM(INDIRECT(ADDRESS(Income_Min_Row,COLUMN())&amp;":"&amp;ADDRESS(Income_Max_Row,COLUMN())))</f>
        <v>0</v>
      </c>
      <c r="CH20" s="26" cm="1">
        <f t="array" aca="1" ref="CH20" ca="1">SUM(INDIRECT(ADDRESS(Income_Min_Row,COLUMN())&amp;":"&amp;ADDRESS(Income_Max_Row,COLUMN())))</f>
        <v>0</v>
      </c>
      <c r="CI20" s="20" cm="1">
        <f t="array" aca="1" ref="CI20" ca="1">SUM(INDIRECT(ADDRESS(Income_Min_Row,COLUMN())&amp;":"&amp;ADDRESS(Income_Max_Row,COLUMN())))</f>
        <v>0</v>
      </c>
    </row>
    <row r="22" spans="3:87" x14ac:dyDescent="0.25">
      <c r="C22" s="16" t="s">
        <v>27</v>
      </c>
      <c r="D22" s="10"/>
      <c r="E22" s="23">
        <f>DATE(E$5,1,1)</f>
        <v>45658</v>
      </c>
      <c r="F22" s="23">
        <f>DATE(E$5,2,1)</f>
        <v>45689</v>
      </c>
      <c r="G22" s="23">
        <f>DATE(E$5,3,1)</f>
        <v>45717</v>
      </c>
      <c r="H22" s="23">
        <f>DATE(E$5,4,1)</f>
        <v>45748</v>
      </c>
      <c r="I22" s="23">
        <f>DATE(E$5,5,1)</f>
        <v>45778</v>
      </c>
      <c r="J22" s="23">
        <f>DATE(E$5,6,1)</f>
        <v>45809</v>
      </c>
      <c r="K22" s="23">
        <f>DATE(E$5,7,1)</f>
        <v>45839</v>
      </c>
      <c r="L22" s="23">
        <f>DATE(E$5,8,1)</f>
        <v>45870</v>
      </c>
      <c r="M22" s="23">
        <f>DATE(E$5,9,1)</f>
        <v>45901</v>
      </c>
      <c r="N22" s="23">
        <f>DATE(E$5,10,1)</f>
        <v>45931</v>
      </c>
      <c r="O22" s="23">
        <f>DATE(E$5,11,1)</f>
        <v>45962</v>
      </c>
      <c r="P22" s="23">
        <f>DATE(E$5,12,1)</f>
        <v>45992</v>
      </c>
      <c r="Q22" s="24">
        <f>E$5</f>
        <v>2025</v>
      </c>
      <c r="S22" s="23">
        <f>DATE(S$5,1,1)</f>
        <v>46023</v>
      </c>
      <c r="T22" s="23">
        <f>DATE(S$5,2,1)</f>
        <v>46054</v>
      </c>
      <c r="U22" s="23">
        <f>DATE(S$5,3,1)</f>
        <v>46082</v>
      </c>
      <c r="V22" s="23">
        <f>DATE(S$5,4,1)</f>
        <v>46113</v>
      </c>
      <c r="W22" s="23">
        <f>DATE(S$5,5,1)</f>
        <v>46143</v>
      </c>
      <c r="X22" s="23">
        <f>DATE(S$5,6,1)</f>
        <v>46174</v>
      </c>
      <c r="Y22" s="23">
        <f>DATE(S$5,7,1)</f>
        <v>46204</v>
      </c>
      <c r="Z22" s="23">
        <f>DATE(S$5,8,1)</f>
        <v>46235</v>
      </c>
      <c r="AA22" s="23">
        <f>DATE(S$5,9,1)</f>
        <v>46266</v>
      </c>
      <c r="AB22" s="23">
        <f>DATE(S$5,10,1)</f>
        <v>46296</v>
      </c>
      <c r="AC22" s="23">
        <f>DATE(S$5,11,1)</f>
        <v>46327</v>
      </c>
      <c r="AD22" s="23">
        <f>DATE(S$5,12,1)</f>
        <v>46357</v>
      </c>
      <c r="AE22" s="24">
        <f>S$5</f>
        <v>2026</v>
      </c>
      <c r="AG22" s="23">
        <f t="shared" ref="AG22" si="124">DATE(AG$5,1,1)</f>
        <v>46388</v>
      </c>
      <c r="AH22" s="23">
        <f t="shared" ref="AH22" si="125">DATE(AG$5,2,1)</f>
        <v>46419</v>
      </c>
      <c r="AI22" s="23">
        <f t="shared" ref="AI22" si="126">DATE(AG$5,3,1)</f>
        <v>46447</v>
      </c>
      <c r="AJ22" s="23">
        <f t="shared" ref="AJ22" si="127">DATE(AG$5,4,1)</f>
        <v>46478</v>
      </c>
      <c r="AK22" s="23">
        <f t="shared" ref="AK22" si="128">DATE(AG$5,5,1)</f>
        <v>46508</v>
      </c>
      <c r="AL22" s="23">
        <f t="shared" ref="AL22" si="129">DATE(AG$5,6,1)</f>
        <v>46539</v>
      </c>
      <c r="AM22" s="23">
        <f t="shared" ref="AM22" si="130">DATE(AG$5,7,1)</f>
        <v>46569</v>
      </c>
      <c r="AN22" s="23">
        <f t="shared" ref="AN22" si="131">DATE(AG$5,8,1)</f>
        <v>46600</v>
      </c>
      <c r="AO22" s="23">
        <f t="shared" ref="AO22" si="132">DATE(AG$5,9,1)</f>
        <v>46631</v>
      </c>
      <c r="AP22" s="23">
        <f t="shared" ref="AP22" si="133">DATE(AG$5,10,1)</f>
        <v>46661</v>
      </c>
      <c r="AQ22" s="23">
        <f t="shared" ref="AQ22" si="134">DATE(AG$5,11,1)</f>
        <v>46692</v>
      </c>
      <c r="AR22" s="23">
        <f t="shared" ref="AR22" si="135">DATE(AG$5,12,1)</f>
        <v>46722</v>
      </c>
      <c r="AS22" s="24">
        <f t="shared" ref="AS22" si="136">AG$5</f>
        <v>2027</v>
      </c>
      <c r="AU22" s="23">
        <f t="shared" ref="AU22:BW22" si="137">DATE(AU$5,1,1)</f>
        <v>46753</v>
      </c>
      <c r="AV22" s="23">
        <f t="shared" ref="AV22" si="138">DATE(AU$5,2,1)</f>
        <v>46784</v>
      </c>
      <c r="AW22" s="23">
        <f t="shared" ref="AW22" si="139">DATE(AU$5,3,1)</f>
        <v>46813</v>
      </c>
      <c r="AX22" s="23">
        <f t="shared" ref="AX22" si="140">DATE(AU$5,4,1)</f>
        <v>46844</v>
      </c>
      <c r="AY22" s="23">
        <f t="shared" ref="AY22" si="141">DATE(AU$5,5,1)</f>
        <v>46874</v>
      </c>
      <c r="AZ22" s="23">
        <f t="shared" ref="AZ22" si="142">DATE(AU$5,6,1)</f>
        <v>46905</v>
      </c>
      <c r="BA22" s="23">
        <f t="shared" ref="BA22" si="143">DATE(AU$5,7,1)</f>
        <v>46935</v>
      </c>
      <c r="BB22" s="23">
        <f t="shared" ref="BB22" si="144">DATE(AU$5,8,1)</f>
        <v>46966</v>
      </c>
      <c r="BC22" s="23">
        <f t="shared" ref="BC22" si="145">DATE(AU$5,9,1)</f>
        <v>46997</v>
      </c>
      <c r="BD22" s="23">
        <f t="shared" ref="BD22" si="146">DATE(AU$5,10,1)</f>
        <v>47027</v>
      </c>
      <c r="BE22" s="23">
        <f t="shared" ref="BE22" si="147">DATE(AU$5,11,1)</f>
        <v>47058</v>
      </c>
      <c r="BF22" s="23">
        <f t="shared" ref="BF22" si="148">DATE(AU$5,12,1)</f>
        <v>47088</v>
      </c>
      <c r="BG22" s="24">
        <f t="shared" ref="BG22" si="149">AU$5</f>
        <v>2028</v>
      </c>
      <c r="BI22" s="23">
        <f t="shared" si="137"/>
        <v>47119</v>
      </c>
      <c r="BJ22" s="23">
        <f t="shared" ref="BJ22" si="150">DATE(BI$5,2,1)</f>
        <v>47150</v>
      </c>
      <c r="BK22" s="23">
        <f t="shared" ref="BK22" si="151">DATE(BI$5,3,1)</f>
        <v>47178</v>
      </c>
      <c r="BL22" s="23">
        <f t="shared" ref="BL22" si="152">DATE(BI$5,4,1)</f>
        <v>47209</v>
      </c>
      <c r="BM22" s="23">
        <f t="shared" ref="BM22" si="153">DATE(BI$5,5,1)</f>
        <v>47239</v>
      </c>
      <c r="BN22" s="23">
        <f t="shared" ref="BN22" si="154">DATE(BI$5,6,1)</f>
        <v>47270</v>
      </c>
      <c r="BO22" s="23">
        <f t="shared" ref="BO22" si="155">DATE(BI$5,7,1)</f>
        <v>47300</v>
      </c>
      <c r="BP22" s="23">
        <f t="shared" ref="BP22" si="156">DATE(BI$5,8,1)</f>
        <v>47331</v>
      </c>
      <c r="BQ22" s="23">
        <f t="shared" ref="BQ22" si="157">DATE(BI$5,9,1)</f>
        <v>47362</v>
      </c>
      <c r="BR22" s="23">
        <f t="shared" ref="BR22" si="158">DATE(BI$5,10,1)</f>
        <v>47392</v>
      </c>
      <c r="BS22" s="23">
        <f t="shared" ref="BS22" si="159">DATE(BI$5,11,1)</f>
        <v>47423</v>
      </c>
      <c r="BT22" s="23">
        <f t="shared" ref="BT22" si="160">DATE(BI$5,12,1)</f>
        <v>47453</v>
      </c>
      <c r="BU22" s="24">
        <f t="shared" ref="BU22" si="161">BI$5</f>
        <v>2029</v>
      </c>
      <c r="BW22" s="23">
        <f t="shared" si="137"/>
        <v>47484</v>
      </c>
      <c r="BX22" s="23">
        <f t="shared" ref="BX22" si="162">DATE(BW$5,2,1)</f>
        <v>47515</v>
      </c>
      <c r="BY22" s="23">
        <f t="shared" ref="BY22" si="163">DATE(BW$5,3,1)</f>
        <v>47543</v>
      </c>
      <c r="BZ22" s="23">
        <f t="shared" ref="BZ22" si="164">DATE(BW$5,4,1)</f>
        <v>47574</v>
      </c>
      <c r="CA22" s="23">
        <f t="shared" ref="CA22" si="165">DATE(BW$5,5,1)</f>
        <v>47604</v>
      </c>
      <c r="CB22" s="23">
        <f t="shared" ref="CB22" si="166">DATE(BW$5,6,1)</f>
        <v>47635</v>
      </c>
      <c r="CC22" s="23">
        <f t="shared" ref="CC22" si="167">DATE(BW$5,7,1)</f>
        <v>47665</v>
      </c>
      <c r="CD22" s="23">
        <f t="shared" ref="CD22" si="168">DATE(BW$5,8,1)</f>
        <v>47696</v>
      </c>
      <c r="CE22" s="23">
        <f t="shared" ref="CE22" si="169">DATE(BW$5,9,1)</f>
        <v>47727</v>
      </c>
      <c r="CF22" s="23">
        <f t="shared" ref="CF22" si="170">DATE(BW$5,10,1)</f>
        <v>47757</v>
      </c>
      <c r="CG22" s="23">
        <f t="shared" ref="CG22" si="171">DATE(BW$5,11,1)</f>
        <v>47788</v>
      </c>
      <c r="CH22" s="23">
        <f t="shared" ref="CH22" si="172">DATE(BW$5,12,1)</f>
        <v>47818</v>
      </c>
      <c r="CI22" s="24">
        <f t="shared" ref="CI22" si="173">BW$5</f>
        <v>2030</v>
      </c>
    </row>
    <row r="23" spans="3:87" x14ac:dyDescent="0.25">
      <c r="C23" s="17" t="s">
        <v>28</v>
      </c>
      <c r="D23" s="10"/>
      <c r="E23" s="18"/>
      <c r="F23" s="18"/>
      <c r="G23" s="18"/>
      <c r="H23" s="18"/>
      <c r="I23" s="18"/>
      <c r="J23" s="18"/>
      <c r="K23" s="18"/>
      <c r="L23" s="18"/>
      <c r="M23" s="18"/>
      <c r="N23" s="18"/>
      <c r="O23" s="18"/>
      <c r="P23" s="18"/>
      <c r="Q23" s="19">
        <f>SUM(E23:P23)</f>
        <v>0</v>
      </c>
      <c r="S23" s="18"/>
      <c r="T23" s="18"/>
      <c r="U23" s="18"/>
      <c r="V23" s="18"/>
      <c r="W23" s="18"/>
      <c r="X23" s="18"/>
      <c r="Y23" s="18"/>
      <c r="Z23" s="18"/>
      <c r="AA23" s="18"/>
      <c r="AB23" s="18"/>
      <c r="AC23" s="18"/>
      <c r="AD23" s="18"/>
      <c r="AE23" s="19">
        <f>SUM(S23:AD23)</f>
        <v>0</v>
      </c>
      <c r="AG23" s="18"/>
      <c r="AH23" s="18"/>
      <c r="AI23" s="18"/>
      <c r="AJ23" s="18"/>
      <c r="AK23" s="18"/>
      <c r="AL23" s="18"/>
      <c r="AM23" s="18"/>
      <c r="AN23" s="18"/>
      <c r="AO23" s="18"/>
      <c r="AP23" s="18"/>
      <c r="AQ23" s="18"/>
      <c r="AR23" s="18"/>
      <c r="AS23" s="19">
        <f t="shared" ref="AS23" si="174">SUM(AG23:AR23)</f>
        <v>0</v>
      </c>
      <c r="AU23" s="18"/>
      <c r="AV23" s="18"/>
      <c r="AW23" s="18"/>
      <c r="AX23" s="18"/>
      <c r="AY23" s="18"/>
      <c r="AZ23" s="18"/>
      <c r="BA23" s="18"/>
      <c r="BB23" s="18"/>
      <c r="BC23" s="18"/>
      <c r="BD23" s="18"/>
      <c r="BE23" s="18"/>
      <c r="BF23" s="18"/>
      <c r="BG23" s="19">
        <f t="shared" ref="BG23" si="175">SUM(AU23:BF23)</f>
        <v>0</v>
      </c>
      <c r="BI23" s="18"/>
      <c r="BJ23" s="18"/>
      <c r="BK23" s="18"/>
      <c r="BL23" s="18"/>
      <c r="BM23" s="18"/>
      <c r="BN23" s="18"/>
      <c r="BO23" s="18"/>
      <c r="BP23" s="18"/>
      <c r="BQ23" s="18"/>
      <c r="BR23" s="18"/>
      <c r="BS23" s="18"/>
      <c r="BT23" s="18"/>
      <c r="BU23" s="19">
        <f t="shared" ref="BU23" si="176">SUM(BI23:BT23)</f>
        <v>0</v>
      </c>
      <c r="BW23" s="18"/>
      <c r="BX23" s="18"/>
      <c r="BY23" s="18"/>
      <c r="BZ23" s="18"/>
      <c r="CA23" s="18"/>
      <c r="CB23" s="18"/>
      <c r="CC23" s="18"/>
      <c r="CD23" s="18"/>
      <c r="CE23" s="18"/>
      <c r="CF23" s="18"/>
      <c r="CG23" s="18"/>
      <c r="CH23" s="18"/>
      <c r="CI23" s="19">
        <f t="shared" ref="CI23" si="177">SUM(BW23:CH23)</f>
        <v>0</v>
      </c>
    </row>
    <row r="24" spans="3:87" x14ac:dyDescent="0.25">
      <c r="C24" s="17" t="s">
        <v>29</v>
      </c>
      <c r="D24" s="10"/>
      <c r="E24" s="18"/>
      <c r="F24" s="18"/>
      <c r="G24" s="18"/>
      <c r="H24" s="18"/>
      <c r="I24" s="18"/>
      <c r="J24" s="18"/>
      <c r="K24" s="18"/>
      <c r="L24" s="18"/>
      <c r="M24" s="18"/>
      <c r="N24" s="18"/>
      <c r="O24" s="18"/>
      <c r="P24" s="18"/>
      <c r="Q24" s="19">
        <f t="shared" ref="Q24:Q67" si="178">SUM(E24:P24)</f>
        <v>0</v>
      </c>
      <c r="S24" s="18"/>
      <c r="T24" s="18"/>
      <c r="U24" s="18"/>
      <c r="V24" s="18"/>
      <c r="W24" s="18"/>
      <c r="X24" s="18"/>
      <c r="Y24" s="18"/>
      <c r="Z24" s="18"/>
      <c r="AA24" s="18"/>
      <c r="AB24" s="18"/>
      <c r="AC24" s="18"/>
      <c r="AD24" s="18"/>
      <c r="AE24" s="19">
        <f t="shared" ref="AE24:AE67" si="179">SUM(S24:AD24)</f>
        <v>0</v>
      </c>
      <c r="AG24" s="18"/>
      <c r="AH24" s="18"/>
      <c r="AI24" s="18"/>
      <c r="AJ24" s="18"/>
      <c r="AK24" s="18"/>
      <c r="AL24" s="18"/>
      <c r="AM24" s="18"/>
      <c r="AN24" s="18"/>
      <c r="AO24" s="18"/>
      <c r="AP24" s="18"/>
      <c r="AQ24" s="18"/>
      <c r="AR24" s="18"/>
      <c r="AS24" s="19">
        <f t="shared" ref="AS24:AS67" si="180">SUM(AG24:AR24)</f>
        <v>0</v>
      </c>
      <c r="AU24" s="18"/>
      <c r="AV24" s="18"/>
      <c r="AW24" s="18"/>
      <c r="AX24" s="18"/>
      <c r="AY24" s="18"/>
      <c r="AZ24" s="18"/>
      <c r="BA24" s="18"/>
      <c r="BB24" s="18"/>
      <c r="BC24" s="18"/>
      <c r="BD24" s="18"/>
      <c r="BE24" s="18"/>
      <c r="BF24" s="18"/>
      <c r="BG24" s="19">
        <f t="shared" ref="BG24:BG67" si="181">SUM(AU24:BF24)</f>
        <v>0</v>
      </c>
      <c r="BI24" s="18"/>
      <c r="BJ24" s="18"/>
      <c r="BK24" s="18"/>
      <c r="BL24" s="18"/>
      <c r="BM24" s="18"/>
      <c r="BN24" s="18"/>
      <c r="BO24" s="18"/>
      <c r="BP24" s="18"/>
      <c r="BQ24" s="18"/>
      <c r="BR24" s="18"/>
      <c r="BS24" s="18"/>
      <c r="BT24" s="18"/>
      <c r="BU24" s="19">
        <f t="shared" ref="BU24:BU67" si="182">SUM(BI24:BT24)</f>
        <v>0</v>
      </c>
      <c r="BW24" s="18"/>
      <c r="BX24" s="18"/>
      <c r="BY24" s="18"/>
      <c r="BZ24" s="18"/>
      <c r="CA24" s="18"/>
      <c r="CB24" s="18"/>
      <c r="CC24" s="18"/>
      <c r="CD24" s="18"/>
      <c r="CE24" s="18"/>
      <c r="CF24" s="18"/>
      <c r="CG24" s="18"/>
      <c r="CH24" s="18"/>
      <c r="CI24" s="19">
        <f t="shared" ref="CI24:CI67" si="183">SUM(BW24:CH24)</f>
        <v>0</v>
      </c>
    </row>
    <row r="25" spans="3:87" x14ac:dyDescent="0.25">
      <c r="C25" s="17" t="s">
        <v>30</v>
      </c>
      <c r="D25" s="10"/>
      <c r="E25" s="18"/>
      <c r="F25" s="18"/>
      <c r="G25" s="18"/>
      <c r="H25" s="18"/>
      <c r="I25" s="18"/>
      <c r="J25" s="18"/>
      <c r="K25" s="18"/>
      <c r="L25" s="18"/>
      <c r="M25" s="18"/>
      <c r="N25" s="18"/>
      <c r="O25" s="18"/>
      <c r="P25" s="18"/>
      <c r="Q25" s="19">
        <f t="shared" si="178"/>
        <v>0</v>
      </c>
      <c r="S25" s="18"/>
      <c r="T25" s="18"/>
      <c r="U25" s="18"/>
      <c r="V25" s="18"/>
      <c r="W25" s="18"/>
      <c r="X25" s="18"/>
      <c r="Y25" s="18"/>
      <c r="Z25" s="18"/>
      <c r="AA25" s="18"/>
      <c r="AB25" s="18"/>
      <c r="AC25" s="18"/>
      <c r="AD25" s="18"/>
      <c r="AE25" s="19">
        <f t="shared" si="179"/>
        <v>0</v>
      </c>
      <c r="AG25" s="18"/>
      <c r="AH25" s="18"/>
      <c r="AI25" s="18"/>
      <c r="AJ25" s="18"/>
      <c r="AK25" s="18"/>
      <c r="AL25" s="18"/>
      <c r="AM25" s="18"/>
      <c r="AN25" s="18"/>
      <c r="AO25" s="18"/>
      <c r="AP25" s="18"/>
      <c r="AQ25" s="18"/>
      <c r="AR25" s="18"/>
      <c r="AS25" s="19">
        <f t="shared" si="180"/>
        <v>0</v>
      </c>
      <c r="AU25" s="18"/>
      <c r="AV25" s="18"/>
      <c r="AW25" s="18"/>
      <c r="AX25" s="18"/>
      <c r="AY25" s="18"/>
      <c r="AZ25" s="18"/>
      <c r="BA25" s="18"/>
      <c r="BB25" s="18"/>
      <c r="BC25" s="18"/>
      <c r="BD25" s="18"/>
      <c r="BE25" s="18"/>
      <c r="BF25" s="18"/>
      <c r="BG25" s="19">
        <f t="shared" si="181"/>
        <v>0</v>
      </c>
      <c r="BI25" s="18"/>
      <c r="BJ25" s="18"/>
      <c r="BK25" s="18"/>
      <c r="BL25" s="18"/>
      <c r="BM25" s="18"/>
      <c r="BN25" s="18"/>
      <c r="BO25" s="18"/>
      <c r="BP25" s="18"/>
      <c r="BQ25" s="18"/>
      <c r="BR25" s="18"/>
      <c r="BS25" s="18"/>
      <c r="BT25" s="18"/>
      <c r="BU25" s="19">
        <f t="shared" si="182"/>
        <v>0</v>
      </c>
      <c r="BW25" s="18"/>
      <c r="BX25" s="18"/>
      <c r="BY25" s="18"/>
      <c r="BZ25" s="18"/>
      <c r="CA25" s="18"/>
      <c r="CB25" s="18"/>
      <c r="CC25" s="18"/>
      <c r="CD25" s="18"/>
      <c r="CE25" s="18"/>
      <c r="CF25" s="18"/>
      <c r="CG25" s="18"/>
      <c r="CH25" s="18"/>
      <c r="CI25" s="19">
        <f t="shared" si="183"/>
        <v>0</v>
      </c>
    </row>
    <row r="26" spans="3:87" x14ac:dyDescent="0.25">
      <c r="C26" s="17" t="s">
        <v>31</v>
      </c>
      <c r="D26" s="10"/>
      <c r="E26" s="18"/>
      <c r="F26" s="18"/>
      <c r="G26" s="18"/>
      <c r="H26" s="18"/>
      <c r="I26" s="18"/>
      <c r="J26" s="18"/>
      <c r="K26" s="18"/>
      <c r="L26" s="18"/>
      <c r="M26" s="18"/>
      <c r="N26" s="18"/>
      <c r="O26" s="18"/>
      <c r="P26" s="18"/>
      <c r="Q26" s="19">
        <f t="shared" si="178"/>
        <v>0</v>
      </c>
      <c r="S26" s="18"/>
      <c r="T26" s="18"/>
      <c r="U26" s="18"/>
      <c r="V26" s="18"/>
      <c r="W26" s="18"/>
      <c r="X26" s="18"/>
      <c r="Y26" s="18"/>
      <c r="Z26" s="18"/>
      <c r="AA26" s="18"/>
      <c r="AB26" s="18"/>
      <c r="AC26" s="18"/>
      <c r="AD26" s="18"/>
      <c r="AE26" s="19">
        <f t="shared" si="179"/>
        <v>0</v>
      </c>
      <c r="AG26" s="18"/>
      <c r="AH26" s="18"/>
      <c r="AI26" s="18"/>
      <c r="AJ26" s="18"/>
      <c r="AK26" s="18"/>
      <c r="AL26" s="18"/>
      <c r="AM26" s="18"/>
      <c r="AN26" s="18"/>
      <c r="AO26" s="18"/>
      <c r="AP26" s="18"/>
      <c r="AQ26" s="18"/>
      <c r="AR26" s="18"/>
      <c r="AS26" s="19">
        <f t="shared" si="180"/>
        <v>0</v>
      </c>
      <c r="AU26" s="18"/>
      <c r="AV26" s="18"/>
      <c r="AW26" s="18"/>
      <c r="AX26" s="18"/>
      <c r="AY26" s="18"/>
      <c r="AZ26" s="18"/>
      <c r="BA26" s="18"/>
      <c r="BB26" s="18"/>
      <c r="BC26" s="18"/>
      <c r="BD26" s="18"/>
      <c r="BE26" s="18"/>
      <c r="BF26" s="18"/>
      <c r="BG26" s="19">
        <f t="shared" si="181"/>
        <v>0</v>
      </c>
      <c r="BI26" s="18"/>
      <c r="BJ26" s="18"/>
      <c r="BK26" s="18"/>
      <c r="BL26" s="18"/>
      <c r="BM26" s="18"/>
      <c r="BN26" s="18"/>
      <c r="BO26" s="18"/>
      <c r="BP26" s="18"/>
      <c r="BQ26" s="18"/>
      <c r="BR26" s="18"/>
      <c r="BS26" s="18"/>
      <c r="BT26" s="18"/>
      <c r="BU26" s="19">
        <f t="shared" si="182"/>
        <v>0</v>
      </c>
      <c r="BW26" s="18"/>
      <c r="BX26" s="18"/>
      <c r="BY26" s="18"/>
      <c r="BZ26" s="18"/>
      <c r="CA26" s="18"/>
      <c r="CB26" s="18"/>
      <c r="CC26" s="18"/>
      <c r="CD26" s="18"/>
      <c r="CE26" s="18"/>
      <c r="CF26" s="18"/>
      <c r="CG26" s="18"/>
      <c r="CH26" s="18"/>
      <c r="CI26" s="19">
        <f t="shared" si="183"/>
        <v>0</v>
      </c>
    </row>
    <row r="27" spans="3:87" x14ac:dyDescent="0.25">
      <c r="C27" s="17" t="s">
        <v>32</v>
      </c>
      <c r="D27" s="10"/>
      <c r="E27" s="18"/>
      <c r="F27" s="18"/>
      <c r="G27" s="18"/>
      <c r="H27" s="18"/>
      <c r="I27" s="18"/>
      <c r="J27" s="18"/>
      <c r="K27" s="18"/>
      <c r="L27" s="18"/>
      <c r="M27" s="18"/>
      <c r="N27" s="18"/>
      <c r="O27" s="18"/>
      <c r="P27" s="18"/>
      <c r="Q27" s="19">
        <f t="shared" si="178"/>
        <v>0</v>
      </c>
      <c r="S27" s="18"/>
      <c r="T27" s="18"/>
      <c r="U27" s="18"/>
      <c r="V27" s="18"/>
      <c r="W27" s="18"/>
      <c r="X27" s="18"/>
      <c r="Y27" s="18"/>
      <c r="Z27" s="18"/>
      <c r="AA27" s="18"/>
      <c r="AB27" s="18"/>
      <c r="AC27" s="18"/>
      <c r="AD27" s="18"/>
      <c r="AE27" s="19">
        <f t="shared" si="179"/>
        <v>0</v>
      </c>
      <c r="AG27" s="18"/>
      <c r="AH27" s="18"/>
      <c r="AI27" s="18"/>
      <c r="AJ27" s="18"/>
      <c r="AK27" s="18"/>
      <c r="AL27" s="18"/>
      <c r="AM27" s="18"/>
      <c r="AN27" s="18"/>
      <c r="AO27" s="18"/>
      <c r="AP27" s="18"/>
      <c r="AQ27" s="18"/>
      <c r="AR27" s="18"/>
      <c r="AS27" s="19">
        <f t="shared" si="180"/>
        <v>0</v>
      </c>
      <c r="AU27" s="18"/>
      <c r="AV27" s="18"/>
      <c r="AW27" s="18"/>
      <c r="AX27" s="18"/>
      <c r="AY27" s="18"/>
      <c r="AZ27" s="18"/>
      <c r="BA27" s="18"/>
      <c r="BB27" s="18"/>
      <c r="BC27" s="18"/>
      <c r="BD27" s="18"/>
      <c r="BE27" s="18"/>
      <c r="BF27" s="18"/>
      <c r="BG27" s="19">
        <f t="shared" si="181"/>
        <v>0</v>
      </c>
      <c r="BI27" s="18"/>
      <c r="BJ27" s="18"/>
      <c r="BK27" s="18"/>
      <c r="BL27" s="18"/>
      <c r="BM27" s="18"/>
      <c r="BN27" s="18"/>
      <c r="BO27" s="18"/>
      <c r="BP27" s="18"/>
      <c r="BQ27" s="18"/>
      <c r="BR27" s="18"/>
      <c r="BS27" s="18"/>
      <c r="BT27" s="18"/>
      <c r="BU27" s="19">
        <f t="shared" si="182"/>
        <v>0</v>
      </c>
      <c r="BW27" s="18"/>
      <c r="BX27" s="18"/>
      <c r="BY27" s="18"/>
      <c r="BZ27" s="18"/>
      <c r="CA27" s="18"/>
      <c r="CB27" s="18"/>
      <c r="CC27" s="18"/>
      <c r="CD27" s="18"/>
      <c r="CE27" s="18"/>
      <c r="CF27" s="18"/>
      <c r="CG27" s="18"/>
      <c r="CH27" s="18"/>
      <c r="CI27" s="19">
        <f t="shared" si="183"/>
        <v>0</v>
      </c>
    </row>
    <row r="28" spans="3:87" x14ac:dyDescent="0.25">
      <c r="C28" s="17" t="s">
        <v>33</v>
      </c>
      <c r="E28" s="18"/>
      <c r="F28" s="18"/>
      <c r="G28" s="18"/>
      <c r="H28" s="18"/>
      <c r="I28" s="18"/>
      <c r="J28" s="18"/>
      <c r="K28" s="18"/>
      <c r="L28" s="18"/>
      <c r="M28" s="18"/>
      <c r="N28" s="18"/>
      <c r="O28" s="18"/>
      <c r="P28" s="18"/>
      <c r="Q28" s="19">
        <f t="shared" si="178"/>
        <v>0</v>
      </c>
      <c r="S28" s="18"/>
      <c r="T28" s="18"/>
      <c r="U28" s="18"/>
      <c r="V28" s="18"/>
      <c r="W28" s="18"/>
      <c r="X28" s="18"/>
      <c r="Y28" s="18"/>
      <c r="Z28" s="18"/>
      <c r="AA28" s="18"/>
      <c r="AB28" s="18"/>
      <c r="AC28" s="18"/>
      <c r="AD28" s="18"/>
      <c r="AE28" s="19">
        <f t="shared" ref="AE28:AE47" si="184">SUM(S28:AD28)</f>
        <v>0</v>
      </c>
      <c r="AG28" s="18"/>
      <c r="AH28" s="18"/>
      <c r="AI28" s="18"/>
      <c r="AJ28" s="18"/>
      <c r="AK28" s="18"/>
      <c r="AL28" s="18"/>
      <c r="AM28" s="18"/>
      <c r="AN28" s="18"/>
      <c r="AO28" s="18"/>
      <c r="AP28" s="18"/>
      <c r="AQ28" s="18"/>
      <c r="AR28" s="18"/>
      <c r="AS28" s="19">
        <f t="shared" ref="AS28:AS47" si="185">SUM(AG28:AR28)</f>
        <v>0</v>
      </c>
      <c r="AU28" s="18"/>
      <c r="AV28" s="18"/>
      <c r="AW28" s="18"/>
      <c r="AX28" s="18"/>
      <c r="AY28" s="18"/>
      <c r="AZ28" s="18"/>
      <c r="BA28" s="18"/>
      <c r="BB28" s="18"/>
      <c r="BC28" s="18"/>
      <c r="BD28" s="18"/>
      <c r="BE28" s="18"/>
      <c r="BF28" s="18"/>
      <c r="BG28" s="19">
        <f t="shared" ref="BG28:BG47" si="186">SUM(AU28:BF28)</f>
        <v>0</v>
      </c>
      <c r="BI28" s="18"/>
      <c r="BJ28" s="18"/>
      <c r="BK28" s="18"/>
      <c r="BL28" s="18"/>
      <c r="BM28" s="18"/>
      <c r="BN28" s="18"/>
      <c r="BO28" s="18"/>
      <c r="BP28" s="18"/>
      <c r="BQ28" s="18"/>
      <c r="BR28" s="18"/>
      <c r="BS28" s="18"/>
      <c r="BT28" s="18"/>
      <c r="BU28" s="19">
        <f t="shared" ref="BU28:BU47" si="187">SUM(BI28:BT28)</f>
        <v>0</v>
      </c>
      <c r="BW28" s="18"/>
      <c r="BX28" s="18"/>
      <c r="BY28" s="18"/>
      <c r="BZ28" s="18"/>
      <c r="CA28" s="18"/>
      <c r="CB28" s="18"/>
      <c r="CC28" s="18"/>
      <c r="CD28" s="18"/>
      <c r="CE28" s="18"/>
      <c r="CF28" s="18"/>
      <c r="CG28" s="18"/>
      <c r="CH28" s="18"/>
      <c r="CI28" s="19">
        <f t="shared" ref="CI28:CI47" si="188">SUM(BW28:CH28)</f>
        <v>0</v>
      </c>
    </row>
    <row r="29" spans="3:87" x14ac:dyDescent="0.25">
      <c r="C29" s="17" t="s">
        <v>34</v>
      </c>
      <c r="E29" s="18"/>
      <c r="F29" s="18"/>
      <c r="G29" s="18"/>
      <c r="H29" s="18"/>
      <c r="I29" s="18"/>
      <c r="J29" s="18"/>
      <c r="K29" s="18"/>
      <c r="L29" s="18"/>
      <c r="M29" s="18"/>
      <c r="N29" s="18"/>
      <c r="O29" s="18"/>
      <c r="P29" s="18"/>
      <c r="Q29" s="19">
        <f t="shared" si="178"/>
        <v>0</v>
      </c>
      <c r="S29" s="18"/>
      <c r="T29" s="18"/>
      <c r="U29" s="18"/>
      <c r="V29" s="18"/>
      <c r="W29" s="18"/>
      <c r="X29" s="18"/>
      <c r="Y29" s="18"/>
      <c r="Z29" s="18"/>
      <c r="AA29" s="18"/>
      <c r="AB29" s="18"/>
      <c r="AC29" s="18"/>
      <c r="AD29" s="18"/>
      <c r="AE29" s="19">
        <f t="shared" si="184"/>
        <v>0</v>
      </c>
      <c r="AG29" s="18"/>
      <c r="AH29" s="18"/>
      <c r="AI29" s="18"/>
      <c r="AJ29" s="18"/>
      <c r="AK29" s="18"/>
      <c r="AL29" s="18"/>
      <c r="AM29" s="18"/>
      <c r="AN29" s="18"/>
      <c r="AO29" s="18"/>
      <c r="AP29" s="18"/>
      <c r="AQ29" s="18"/>
      <c r="AR29" s="18"/>
      <c r="AS29" s="19">
        <f t="shared" si="185"/>
        <v>0</v>
      </c>
      <c r="AU29" s="18"/>
      <c r="AV29" s="18"/>
      <c r="AW29" s="18"/>
      <c r="AX29" s="18"/>
      <c r="AY29" s="18"/>
      <c r="AZ29" s="18"/>
      <c r="BA29" s="18"/>
      <c r="BB29" s="18"/>
      <c r="BC29" s="18"/>
      <c r="BD29" s="18"/>
      <c r="BE29" s="18"/>
      <c r="BF29" s="18"/>
      <c r="BG29" s="19">
        <f t="shared" si="186"/>
        <v>0</v>
      </c>
      <c r="BI29" s="18"/>
      <c r="BJ29" s="18"/>
      <c r="BK29" s="18"/>
      <c r="BL29" s="18"/>
      <c r="BM29" s="18"/>
      <c r="BN29" s="18"/>
      <c r="BO29" s="18"/>
      <c r="BP29" s="18"/>
      <c r="BQ29" s="18"/>
      <c r="BR29" s="18"/>
      <c r="BS29" s="18"/>
      <c r="BT29" s="18"/>
      <c r="BU29" s="19">
        <f t="shared" si="187"/>
        <v>0</v>
      </c>
      <c r="BW29" s="18"/>
      <c r="BX29" s="18"/>
      <c r="BY29" s="18"/>
      <c r="BZ29" s="18"/>
      <c r="CA29" s="18"/>
      <c r="CB29" s="18"/>
      <c r="CC29" s="18"/>
      <c r="CD29" s="18"/>
      <c r="CE29" s="18"/>
      <c r="CF29" s="18"/>
      <c r="CG29" s="18"/>
      <c r="CH29" s="18"/>
      <c r="CI29" s="19">
        <f t="shared" si="188"/>
        <v>0</v>
      </c>
    </row>
    <row r="30" spans="3:87" x14ac:dyDescent="0.25">
      <c r="C30" s="17" t="s">
        <v>35</v>
      </c>
      <c r="E30" s="18"/>
      <c r="F30" s="18"/>
      <c r="G30" s="18"/>
      <c r="H30" s="18"/>
      <c r="I30" s="18"/>
      <c r="J30" s="18"/>
      <c r="K30" s="18"/>
      <c r="L30" s="18"/>
      <c r="M30" s="18"/>
      <c r="N30" s="18"/>
      <c r="O30" s="18"/>
      <c r="P30" s="18"/>
      <c r="Q30" s="19">
        <f t="shared" si="178"/>
        <v>0</v>
      </c>
      <c r="S30" s="18"/>
      <c r="T30" s="18"/>
      <c r="U30" s="18"/>
      <c r="V30" s="18"/>
      <c r="W30" s="18"/>
      <c r="X30" s="18"/>
      <c r="Y30" s="18"/>
      <c r="Z30" s="18"/>
      <c r="AA30" s="18"/>
      <c r="AB30" s="18"/>
      <c r="AC30" s="18"/>
      <c r="AD30" s="18"/>
      <c r="AE30" s="19">
        <f t="shared" si="184"/>
        <v>0</v>
      </c>
      <c r="AG30" s="18"/>
      <c r="AH30" s="18"/>
      <c r="AI30" s="18"/>
      <c r="AJ30" s="18"/>
      <c r="AK30" s="18"/>
      <c r="AL30" s="18"/>
      <c r="AM30" s="18"/>
      <c r="AN30" s="18"/>
      <c r="AO30" s="18"/>
      <c r="AP30" s="18"/>
      <c r="AQ30" s="18"/>
      <c r="AR30" s="18"/>
      <c r="AS30" s="19">
        <f t="shared" si="185"/>
        <v>0</v>
      </c>
      <c r="AU30" s="18"/>
      <c r="AV30" s="18"/>
      <c r="AW30" s="18"/>
      <c r="AX30" s="18"/>
      <c r="AY30" s="18"/>
      <c r="AZ30" s="18"/>
      <c r="BA30" s="18"/>
      <c r="BB30" s="18"/>
      <c r="BC30" s="18"/>
      <c r="BD30" s="18"/>
      <c r="BE30" s="18"/>
      <c r="BF30" s="18"/>
      <c r="BG30" s="19">
        <f t="shared" si="186"/>
        <v>0</v>
      </c>
      <c r="BI30" s="18"/>
      <c r="BJ30" s="18"/>
      <c r="BK30" s="18"/>
      <c r="BL30" s="18"/>
      <c r="BM30" s="18"/>
      <c r="BN30" s="18"/>
      <c r="BO30" s="18"/>
      <c r="BP30" s="18"/>
      <c r="BQ30" s="18"/>
      <c r="BR30" s="18"/>
      <c r="BS30" s="18"/>
      <c r="BT30" s="18"/>
      <c r="BU30" s="19">
        <f t="shared" si="187"/>
        <v>0</v>
      </c>
      <c r="BW30" s="18"/>
      <c r="BX30" s="18"/>
      <c r="BY30" s="18"/>
      <c r="BZ30" s="18"/>
      <c r="CA30" s="18"/>
      <c r="CB30" s="18"/>
      <c r="CC30" s="18"/>
      <c r="CD30" s="18"/>
      <c r="CE30" s="18"/>
      <c r="CF30" s="18"/>
      <c r="CG30" s="18"/>
      <c r="CH30" s="18"/>
      <c r="CI30" s="19">
        <f t="shared" si="188"/>
        <v>0</v>
      </c>
    </row>
    <row r="31" spans="3:87" x14ac:dyDescent="0.25">
      <c r="C31" s="17" t="s">
        <v>36</v>
      </c>
      <c r="E31" s="18"/>
      <c r="F31" s="18"/>
      <c r="G31" s="18"/>
      <c r="H31" s="18"/>
      <c r="I31" s="18"/>
      <c r="J31" s="18"/>
      <c r="K31" s="18"/>
      <c r="L31" s="18"/>
      <c r="M31" s="18"/>
      <c r="N31" s="18"/>
      <c r="O31" s="18"/>
      <c r="P31" s="18"/>
      <c r="Q31" s="19">
        <f t="shared" si="178"/>
        <v>0</v>
      </c>
      <c r="S31" s="18"/>
      <c r="T31" s="18"/>
      <c r="U31" s="18"/>
      <c r="V31" s="18"/>
      <c r="W31" s="18"/>
      <c r="X31" s="18"/>
      <c r="Y31" s="18"/>
      <c r="Z31" s="18"/>
      <c r="AA31" s="18"/>
      <c r="AB31" s="18"/>
      <c r="AC31" s="18"/>
      <c r="AD31" s="18"/>
      <c r="AE31" s="19">
        <f t="shared" si="184"/>
        <v>0</v>
      </c>
      <c r="AG31" s="18"/>
      <c r="AH31" s="18"/>
      <c r="AI31" s="18"/>
      <c r="AJ31" s="18"/>
      <c r="AK31" s="18"/>
      <c r="AL31" s="18"/>
      <c r="AM31" s="18"/>
      <c r="AN31" s="18"/>
      <c r="AO31" s="18"/>
      <c r="AP31" s="18"/>
      <c r="AQ31" s="18"/>
      <c r="AR31" s="18"/>
      <c r="AS31" s="19">
        <f t="shared" si="185"/>
        <v>0</v>
      </c>
      <c r="AU31" s="18"/>
      <c r="AV31" s="18"/>
      <c r="AW31" s="18"/>
      <c r="AX31" s="18"/>
      <c r="AY31" s="18"/>
      <c r="AZ31" s="18"/>
      <c r="BA31" s="18"/>
      <c r="BB31" s="18"/>
      <c r="BC31" s="18"/>
      <c r="BD31" s="18"/>
      <c r="BE31" s="18"/>
      <c r="BF31" s="18"/>
      <c r="BG31" s="19">
        <f t="shared" si="186"/>
        <v>0</v>
      </c>
      <c r="BI31" s="18"/>
      <c r="BJ31" s="18"/>
      <c r="BK31" s="18"/>
      <c r="BL31" s="18"/>
      <c r="BM31" s="18"/>
      <c r="BN31" s="18"/>
      <c r="BO31" s="18"/>
      <c r="BP31" s="18"/>
      <c r="BQ31" s="18"/>
      <c r="BR31" s="18"/>
      <c r="BS31" s="18"/>
      <c r="BT31" s="18"/>
      <c r="BU31" s="19">
        <f t="shared" si="187"/>
        <v>0</v>
      </c>
      <c r="BW31" s="18"/>
      <c r="BX31" s="18"/>
      <c r="BY31" s="18"/>
      <c r="BZ31" s="18"/>
      <c r="CA31" s="18"/>
      <c r="CB31" s="18"/>
      <c r="CC31" s="18"/>
      <c r="CD31" s="18"/>
      <c r="CE31" s="18"/>
      <c r="CF31" s="18"/>
      <c r="CG31" s="18"/>
      <c r="CH31" s="18"/>
      <c r="CI31" s="19">
        <f t="shared" si="188"/>
        <v>0</v>
      </c>
    </row>
    <row r="32" spans="3:87" x14ac:dyDescent="0.25">
      <c r="C32" s="17" t="s">
        <v>37</v>
      </c>
      <c r="E32" s="18"/>
      <c r="F32" s="18"/>
      <c r="G32" s="18"/>
      <c r="H32" s="18"/>
      <c r="I32" s="18"/>
      <c r="J32" s="18"/>
      <c r="K32" s="18"/>
      <c r="L32" s="18"/>
      <c r="M32" s="18"/>
      <c r="N32" s="18"/>
      <c r="O32" s="18"/>
      <c r="P32" s="18"/>
      <c r="Q32" s="19">
        <f t="shared" si="178"/>
        <v>0</v>
      </c>
      <c r="S32" s="18"/>
      <c r="T32" s="18"/>
      <c r="U32" s="18"/>
      <c r="V32" s="18"/>
      <c r="W32" s="18"/>
      <c r="X32" s="18"/>
      <c r="Y32" s="18"/>
      <c r="Z32" s="18"/>
      <c r="AA32" s="18"/>
      <c r="AB32" s="18"/>
      <c r="AC32" s="18"/>
      <c r="AD32" s="18"/>
      <c r="AE32" s="19">
        <f t="shared" si="184"/>
        <v>0</v>
      </c>
      <c r="AG32" s="18"/>
      <c r="AH32" s="18"/>
      <c r="AI32" s="18"/>
      <c r="AJ32" s="18"/>
      <c r="AK32" s="18"/>
      <c r="AL32" s="18"/>
      <c r="AM32" s="18"/>
      <c r="AN32" s="18"/>
      <c r="AO32" s="18"/>
      <c r="AP32" s="18"/>
      <c r="AQ32" s="18"/>
      <c r="AR32" s="18"/>
      <c r="AS32" s="19">
        <f t="shared" si="185"/>
        <v>0</v>
      </c>
      <c r="AU32" s="18"/>
      <c r="AV32" s="18"/>
      <c r="AW32" s="18"/>
      <c r="AX32" s="18"/>
      <c r="AY32" s="18"/>
      <c r="AZ32" s="18"/>
      <c r="BA32" s="18"/>
      <c r="BB32" s="18"/>
      <c r="BC32" s="18"/>
      <c r="BD32" s="18"/>
      <c r="BE32" s="18"/>
      <c r="BF32" s="18"/>
      <c r="BG32" s="19">
        <f t="shared" si="186"/>
        <v>0</v>
      </c>
      <c r="BI32" s="18"/>
      <c r="BJ32" s="18"/>
      <c r="BK32" s="18"/>
      <c r="BL32" s="18"/>
      <c r="BM32" s="18"/>
      <c r="BN32" s="18"/>
      <c r="BO32" s="18"/>
      <c r="BP32" s="18"/>
      <c r="BQ32" s="18"/>
      <c r="BR32" s="18"/>
      <c r="BS32" s="18"/>
      <c r="BT32" s="18"/>
      <c r="BU32" s="19">
        <f t="shared" si="187"/>
        <v>0</v>
      </c>
      <c r="BW32" s="18"/>
      <c r="BX32" s="18"/>
      <c r="BY32" s="18"/>
      <c r="BZ32" s="18"/>
      <c r="CA32" s="18"/>
      <c r="CB32" s="18"/>
      <c r="CC32" s="18"/>
      <c r="CD32" s="18"/>
      <c r="CE32" s="18"/>
      <c r="CF32" s="18"/>
      <c r="CG32" s="18"/>
      <c r="CH32" s="18"/>
      <c r="CI32" s="19">
        <f t="shared" si="188"/>
        <v>0</v>
      </c>
    </row>
    <row r="33" spans="3:87" x14ac:dyDescent="0.25">
      <c r="C33" s="17" t="s">
        <v>38</v>
      </c>
      <c r="E33" s="18"/>
      <c r="F33" s="18"/>
      <c r="G33" s="18"/>
      <c r="H33" s="18"/>
      <c r="I33" s="18"/>
      <c r="J33" s="18"/>
      <c r="K33" s="18"/>
      <c r="L33" s="18"/>
      <c r="M33" s="18"/>
      <c r="N33" s="18"/>
      <c r="O33" s="18"/>
      <c r="P33" s="18"/>
      <c r="Q33" s="19">
        <f t="shared" si="178"/>
        <v>0</v>
      </c>
      <c r="S33" s="18"/>
      <c r="T33" s="18"/>
      <c r="U33" s="18"/>
      <c r="V33" s="18"/>
      <c r="W33" s="18"/>
      <c r="X33" s="18"/>
      <c r="Y33" s="18"/>
      <c r="Z33" s="18"/>
      <c r="AA33" s="18"/>
      <c r="AB33" s="18"/>
      <c r="AC33" s="18"/>
      <c r="AD33" s="18"/>
      <c r="AE33" s="19">
        <f t="shared" si="184"/>
        <v>0</v>
      </c>
      <c r="AG33" s="18"/>
      <c r="AH33" s="18"/>
      <c r="AI33" s="18"/>
      <c r="AJ33" s="18"/>
      <c r="AK33" s="18"/>
      <c r="AL33" s="18"/>
      <c r="AM33" s="18"/>
      <c r="AN33" s="18"/>
      <c r="AO33" s="18"/>
      <c r="AP33" s="18"/>
      <c r="AQ33" s="18"/>
      <c r="AR33" s="18"/>
      <c r="AS33" s="19">
        <f t="shared" si="185"/>
        <v>0</v>
      </c>
      <c r="AU33" s="18"/>
      <c r="AV33" s="18"/>
      <c r="AW33" s="18"/>
      <c r="AX33" s="18"/>
      <c r="AY33" s="18"/>
      <c r="AZ33" s="18"/>
      <c r="BA33" s="18"/>
      <c r="BB33" s="18"/>
      <c r="BC33" s="18"/>
      <c r="BD33" s="18"/>
      <c r="BE33" s="18"/>
      <c r="BF33" s="18"/>
      <c r="BG33" s="19">
        <f t="shared" si="186"/>
        <v>0</v>
      </c>
      <c r="BI33" s="18"/>
      <c r="BJ33" s="18"/>
      <c r="BK33" s="18"/>
      <c r="BL33" s="18"/>
      <c r="BM33" s="18"/>
      <c r="BN33" s="18"/>
      <c r="BO33" s="18"/>
      <c r="BP33" s="18"/>
      <c r="BQ33" s="18"/>
      <c r="BR33" s="18"/>
      <c r="BS33" s="18"/>
      <c r="BT33" s="18"/>
      <c r="BU33" s="19">
        <f t="shared" si="187"/>
        <v>0</v>
      </c>
      <c r="BW33" s="18"/>
      <c r="BX33" s="18"/>
      <c r="BY33" s="18"/>
      <c r="BZ33" s="18"/>
      <c r="CA33" s="18"/>
      <c r="CB33" s="18"/>
      <c r="CC33" s="18"/>
      <c r="CD33" s="18"/>
      <c r="CE33" s="18"/>
      <c r="CF33" s="18"/>
      <c r="CG33" s="18"/>
      <c r="CH33" s="18"/>
      <c r="CI33" s="19">
        <f t="shared" si="188"/>
        <v>0</v>
      </c>
    </row>
    <row r="34" spans="3:87" x14ac:dyDescent="0.25">
      <c r="C34" s="17" t="s">
        <v>39</v>
      </c>
      <c r="E34" s="18"/>
      <c r="F34" s="18"/>
      <c r="G34" s="18"/>
      <c r="H34" s="18"/>
      <c r="I34" s="18"/>
      <c r="J34" s="18"/>
      <c r="K34" s="18"/>
      <c r="L34" s="18"/>
      <c r="M34" s="18"/>
      <c r="N34" s="18"/>
      <c r="O34" s="18"/>
      <c r="P34" s="18"/>
      <c r="Q34" s="19">
        <f t="shared" si="178"/>
        <v>0</v>
      </c>
      <c r="S34" s="18"/>
      <c r="T34" s="18"/>
      <c r="U34" s="18"/>
      <c r="V34" s="18"/>
      <c r="W34" s="18"/>
      <c r="X34" s="18"/>
      <c r="Y34" s="18"/>
      <c r="Z34" s="18"/>
      <c r="AA34" s="18"/>
      <c r="AB34" s="18"/>
      <c r="AC34" s="18"/>
      <c r="AD34" s="18"/>
      <c r="AE34" s="19">
        <f t="shared" si="184"/>
        <v>0</v>
      </c>
      <c r="AG34" s="18"/>
      <c r="AH34" s="18"/>
      <c r="AI34" s="18"/>
      <c r="AJ34" s="18"/>
      <c r="AK34" s="18"/>
      <c r="AL34" s="18"/>
      <c r="AM34" s="18"/>
      <c r="AN34" s="18"/>
      <c r="AO34" s="18"/>
      <c r="AP34" s="18"/>
      <c r="AQ34" s="18"/>
      <c r="AR34" s="18"/>
      <c r="AS34" s="19">
        <f t="shared" si="185"/>
        <v>0</v>
      </c>
      <c r="AU34" s="18"/>
      <c r="AV34" s="18"/>
      <c r="AW34" s="18"/>
      <c r="AX34" s="18"/>
      <c r="AY34" s="18"/>
      <c r="AZ34" s="18"/>
      <c r="BA34" s="18"/>
      <c r="BB34" s="18"/>
      <c r="BC34" s="18"/>
      <c r="BD34" s="18"/>
      <c r="BE34" s="18"/>
      <c r="BF34" s="18"/>
      <c r="BG34" s="19">
        <f t="shared" si="186"/>
        <v>0</v>
      </c>
      <c r="BI34" s="18"/>
      <c r="BJ34" s="18"/>
      <c r="BK34" s="18"/>
      <c r="BL34" s="18"/>
      <c r="BM34" s="18"/>
      <c r="BN34" s="18"/>
      <c r="BO34" s="18"/>
      <c r="BP34" s="18"/>
      <c r="BQ34" s="18"/>
      <c r="BR34" s="18"/>
      <c r="BS34" s="18"/>
      <c r="BT34" s="18"/>
      <c r="BU34" s="19">
        <f t="shared" si="187"/>
        <v>0</v>
      </c>
      <c r="BW34" s="18"/>
      <c r="BX34" s="18"/>
      <c r="BY34" s="18"/>
      <c r="BZ34" s="18"/>
      <c r="CA34" s="18"/>
      <c r="CB34" s="18"/>
      <c r="CC34" s="18"/>
      <c r="CD34" s="18"/>
      <c r="CE34" s="18"/>
      <c r="CF34" s="18"/>
      <c r="CG34" s="18"/>
      <c r="CH34" s="18"/>
      <c r="CI34" s="19">
        <f t="shared" si="188"/>
        <v>0</v>
      </c>
    </row>
    <row r="35" spans="3:87" x14ac:dyDescent="0.25">
      <c r="C35" s="17" t="s">
        <v>40</v>
      </c>
      <c r="E35" s="18"/>
      <c r="F35" s="18"/>
      <c r="G35" s="18"/>
      <c r="H35" s="18"/>
      <c r="I35" s="18"/>
      <c r="J35" s="18"/>
      <c r="K35" s="18"/>
      <c r="L35" s="18"/>
      <c r="M35" s="18"/>
      <c r="N35" s="18"/>
      <c r="O35" s="18"/>
      <c r="P35" s="18"/>
      <c r="Q35" s="19">
        <f t="shared" si="178"/>
        <v>0</v>
      </c>
      <c r="S35" s="18"/>
      <c r="T35" s="18"/>
      <c r="U35" s="18"/>
      <c r="V35" s="18"/>
      <c r="W35" s="18"/>
      <c r="X35" s="18"/>
      <c r="Y35" s="18"/>
      <c r="Z35" s="18"/>
      <c r="AA35" s="18"/>
      <c r="AB35" s="18"/>
      <c r="AC35" s="18"/>
      <c r="AD35" s="18"/>
      <c r="AE35" s="19">
        <f t="shared" si="184"/>
        <v>0</v>
      </c>
      <c r="AG35" s="18"/>
      <c r="AH35" s="18"/>
      <c r="AI35" s="18"/>
      <c r="AJ35" s="18"/>
      <c r="AK35" s="18"/>
      <c r="AL35" s="18"/>
      <c r="AM35" s="18"/>
      <c r="AN35" s="18"/>
      <c r="AO35" s="18"/>
      <c r="AP35" s="18"/>
      <c r="AQ35" s="18"/>
      <c r="AR35" s="18"/>
      <c r="AS35" s="19">
        <f t="shared" si="185"/>
        <v>0</v>
      </c>
      <c r="AU35" s="18"/>
      <c r="AV35" s="18"/>
      <c r="AW35" s="18"/>
      <c r="AX35" s="18"/>
      <c r="AY35" s="18"/>
      <c r="AZ35" s="18"/>
      <c r="BA35" s="18"/>
      <c r="BB35" s="18"/>
      <c r="BC35" s="18"/>
      <c r="BD35" s="18"/>
      <c r="BE35" s="18"/>
      <c r="BF35" s="18"/>
      <c r="BG35" s="19">
        <f t="shared" si="186"/>
        <v>0</v>
      </c>
      <c r="BI35" s="18"/>
      <c r="BJ35" s="18"/>
      <c r="BK35" s="18"/>
      <c r="BL35" s="18"/>
      <c r="BM35" s="18"/>
      <c r="BN35" s="18"/>
      <c r="BO35" s="18"/>
      <c r="BP35" s="18"/>
      <c r="BQ35" s="18"/>
      <c r="BR35" s="18"/>
      <c r="BS35" s="18"/>
      <c r="BT35" s="18"/>
      <c r="BU35" s="19">
        <f t="shared" si="187"/>
        <v>0</v>
      </c>
      <c r="BW35" s="18"/>
      <c r="BX35" s="18"/>
      <c r="BY35" s="18"/>
      <c r="BZ35" s="18"/>
      <c r="CA35" s="18"/>
      <c r="CB35" s="18"/>
      <c r="CC35" s="18"/>
      <c r="CD35" s="18"/>
      <c r="CE35" s="18"/>
      <c r="CF35" s="18"/>
      <c r="CG35" s="18"/>
      <c r="CH35" s="18"/>
      <c r="CI35" s="19">
        <f t="shared" si="188"/>
        <v>0</v>
      </c>
    </row>
    <row r="36" spans="3:87" x14ac:dyDescent="0.25">
      <c r="C36" s="17" t="s">
        <v>41</v>
      </c>
      <c r="E36" s="18"/>
      <c r="F36" s="18"/>
      <c r="G36" s="18"/>
      <c r="H36" s="18"/>
      <c r="I36" s="18"/>
      <c r="J36" s="18"/>
      <c r="K36" s="18"/>
      <c r="L36" s="18"/>
      <c r="M36" s="18"/>
      <c r="N36" s="18"/>
      <c r="O36" s="18"/>
      <c r="P36" s="18"/>
      <c r="Q36" s="19">
        <f t="shared" si="178"/>
        <v>0</v>
      </c>
      <c r="S36" s="18"/>
      <c r="T36" s="18"/>
      <c r="U36" s="18"/>
      <c r="V36" s="18"/>
      <c r="W36" s="18"/>
      <c r="X36" s="18"/>
      <c r="Y36" s="18"/>
      <c r="Z36" s="18"/>
      <c r="AA36" s="18"/>
      <c r="AB36" s="18"/>
      <c r="AC36" s="18"/>
      <c r="AD36" s="18"/>
      <c r="AE36" s="19">
        <f t="shared" si="184"/>
        <v>0</v>
      </c>
      <c r="AG36" s="18"/>
      <c r="AH36" s="18"/>
      <c r="AI36" s="18"/>
      <c r="AJ36" s="18"/>
      <c r="AK36" s="18"/>
      <c r="AL36" s="18"/>
      <c r="AM36" s="18"/>
      <c r="AN36" s="18"/>
      <c r="AO36" s="18"/>
      <c r="AP36" s="18"/>
      <c r="AQ36" s="18"/>
      <c r="AR36" s="18"/>
      <c r="AS36" s="19">
        <f t="shared" si="185"/>
        <v>0</v>
      </c>
      <c r="AU36" s="18"/>
      <c r="AV36" s="18"/>
      <c r="AW36" s="18"/>
      <c r="AX36" s="18"/>
      <c r="AY36" s="18"/>
      <c r="AZ36" s="18"/>
      <c r="BA36" s="18"/>
      <c r="BB36" s="18"/>
      <c r="BC36" s="18"/>
      <c r="BD36" s="18"/>
      <c r="BE36" s="18"/>
      <c r="BF36" s="18"/>
      <c r="BG36" s="19">
        <f t="shared" si="186"/>
        <v>0</v>
      </c>
      <c r="BI36" s="18"/>
      <c r="BJ36" s="18"/>
      <c r="BK36" s="18"/>
      <c r="BL36" s="18"/>
      <c r="BM36" s="18"/>
      <c r="BN36" s="18"/>
      <c r="BO36" s="18"/>
      <c r="BP36" s="18"/>
      <c r="BQ36" s="18"/>
      <c r="BR36" s="18"/>
      <c r="BS36" s="18"/>
      <c r="BT36" s="18"/>
      <c r="BU36" s="19">
        <f t="shared" si="187"/>
        <v>0</v>
      </c>
      <c r="BW36" s="18"/>
      <c r="BX36" s="18"/>
      <c r="BY36" s="18"/>
      <c r="BZ36" s="18"/>
      <c r="CA36" s="18"/>
      <c r="CB36" s="18"/>
      <c r="CC36" s="18"/>
      <c r="CD36" s="18"/>
      <c r="CE36" s="18"/>
      <c r="CF36" s="18"/>
      <c r="CG36" s="18"/>
      <c r="CH36" s="18"/>
      <c r="CI36" s="19">
        <f t="shared" si="188"/>
        <v>0</v>
      </c>
    </row>
    <row r="37" spans="3:87" x14ac:dyDescent="0.25">
      <c r="C37" s="17" t="s">
        <v>42</v>
      </c>
      <c r="E37" s="18"/>
      <c r="F37" s="18"/>
      <c r="G37" s="18"/>
      <c r="H37" s="18"/>
      <c r="I37" s="18"/>
      <c r="J37" s="18"/>
      <c r="K37" s="18"/>
      <c r="L37" s="18"/>
      <c r="M37" s="18"/>
      <c r="N37" s="18"/>
      <c r="O37" s="18"/>
      <c r="P37" s="18"/>
      <c r="Q37" s="19">
        <f t="shared" si="178"/>
        <v>0</v>
      </c>
      <c r="S37" s="18"/>
      <c r="T37" s="18"/>
      <c r="U37" s="18"/>
      <c r="V37" s="18"/>
      <c r="W37" s="18"/>
      <c r="X37" s="18"/>
      <c r="Y37" s="18"/>
      <c r="Z37" s="18"/>
      <c r="AA37" s="18"/>
      <c r="AB37" s="18"/>
      <c r="AC37" s="18"/>
      <c r="AD37" s="18"/>
      <c r="AE37" s="19">
        <f t="shared" si="184"/>
        <v>0</v>
      </c>
      <c r="AG37" s="18"/>
      <c r="AH37" s="18"/>
      <c r="AI37" s="18"/>
      <c r="AJ37" s="18"/>
      <c r="AK37" s="18"/>
      <c r="AL37" s="18"/>
      <c r="AM37" s="18"/>
      <c r="AN37" s="18"/>
      <c r="AO37" s="18"/>
      <c r="AP37" s="18"/>
      <c r="AQ37" s="18"/>
      <c r="AR37" s="18"/>
      <c r="AS37" s="19">
        <f t="shared" si="185"/>
        <v>0</v>
      </c>
      <c r="AU37" s="18"/>
      <c r="AV37" s="18"/>
      <c r="AW37" s="18"/>
      <c r="AX37" s="18"/>
      <c r="AY37" s="18"/>
      <c r="AZ37" s="18"/>
      <c r="BA37" s="18"/>
      <c r="BB37" s="18"/>
      <c r="BC37" s="18"/>
      <c r="BD37" s="18"/>
      <c r="BE37" s="18"/>
      <c r="BF37" s="18"/>
      <c r="BG37" s="19">
        <f t="shared" si="186"/>
        <v>0</v>
      </c>
      <c r="BI37" s="18"/>
      <c r="BJ37" s="18"/>
      <c r="BK37" s="18"/>
      <c r="BL37" s="18"/>
      <c r="BM37" s="18"/>
      <c r="BN37" s="18"/>
      <c r="BO37" s="18"/>
      <c r="BP37" s="18"/>
      <c r="BQ37" s="18"/>
      <c r="BR37" s="18"/>
      <c r="BS37" s="18"/>
      <c r="BT37" s="18"/>
      <c r="BU37" s="19">
        <f t="shared" si="187"/>
        <v>0</v>
      </c>
      <c r="BW37" s="18"/>
      <c r="BX37" s="18"/>
      <c r="BY37" s="18"/>
      <c r="BZ37" s="18"/>
      <c r="CA37" s="18"/>
      <c r="CB37" s="18"/>
      <c r="CC37" s="18"/>
      <c r="CD37" s="18"/>
      <c r="CE37" s="18"/>
      <c r="CF37" s="18"/>
      <c r="CG37" s="18"/>
      <c r="CH37" s="18"/>
      <c r="CI37" s="19">
        <f t="shared" si="188"/>
        <v>0</v>
      </c>
    </row>
    <row r="38" spans="3:87" x14ac:dyDescent="0.25">
      <c r="C38" s="17" t="s">
        <v>43</v>
      </c>
      <c r="E38" s="18"/>
      <c r="F38" s="18"/>
      <c r="G38" s="18"/>
      <c r="H38" s="18"/>
      <c r="I38" s="18"/>
      <c r="J38" s="18"/>
      <c r="K38" s="18"/>
      <c r="L38" s="18"/>
      <c r="M38" s="18"/>
      <c r="N38" s="18"/>
      <c r="O38" s="18"/>
      <c r="P38" s="18"/>
      <c r="Q38" s="19">
        <f t="shared" ref="Q38:Q47" si="189">SUM(E38:P38)</f>
        <v>0</v>
      </c>
      <c r="S38" s="18"/>
      <c r="T38" s="18"/>
      <c r="U38" s="18"/>
      <c r="V38" s="18"/>
      <c r="W38" s="18"/>
      <c r="X38" s="18"/>
      <c r="Y38" s="18"/>
      <c r="Z38" s="18"/>
      <c r="AA38" s="18"/>
      <c r="AB38" s="18"/>
      <c r="AC38" s="18"/>
      <c r="AD38" s="18"/>
      <c r="AE38" s="19">
        <f t="shared" si="184"/>
        <v>0</v>
      </c>
      <c r="AG38" s="18"/>
      <c r="AH38" s="18"/>
      <c r="AI38" s="18"/>
      <c r="AJ38" s="18"/>
      <c r="AK38" s="18"/>
      <c r="AL38" s="18"/>
      <c r="AM38" s="18"/>
      <c r="AN38" s="18"/>
      <c r="AO38" s="18"/>
      <c r="AP38" s="18"/>
      <c r="AQ38" s="18"/>
      <c r="AR38" s="18"/>
      <c r="AS38" s="19">
        <f t="shared" si="185"/>
        <v>0</v>
      </c>
      <c r="AU38" s="18"/>
      <c r="AV38" s="18"/>
      <c r="AW38" s="18"/>
      <c r="AX38" s="18"/>
      <c r="AY38" s="18"/>
      <c r="AZ38" s="18"/>
      <c r="BA38" s="18"/>
      <c r="BB38" s="18"/>
      <c r="BC38" s="18"/>
      <c r="BD38" s="18"/>
      <c r="BE38" s="18"/>
      <c r="BF38" s="18"/>
      <c r="BG38" s="19">
        <f t="shared" si="186"/>
        <v>0</v>
      </c>
      <c r="BI38" s="18"/>
      <c r="BJ38" s="18"/>
      <c r="BK38" s="18"/>
      <c r="BL38" s="18"/>
      <c r="BM38" s="18"/>
      <c r="BN38" s="18"/>
      <c r="BO38" s="18"/>
      <c r="BP38" s="18"/>
      <c r="BQ38" s="18"/>
      <c r="BR38" s="18"/>
      <c r="BS38" s="18"/>
      <c r="BT38" s="18"/>
      <c r="BU38" s="19">
        <f t="shared" si="187"/>
        <v>0</v>
      </c>
      <c r="BW38" s="18"/>
      <c r="BX38" s="18"/>
      <c r="BY38" s="18"/>
      <c r="BZ38" s="18"/>
      <c r="CA38" s="18"/>
      <c r="CB38" s="18"/>
      <c r="CC38" s="18"/>
      <c r="CD38" s="18"/>
      <c r="CE38" s="18"/>
      <c r="CF38" s="18"/>
      <c r="CG38" s="18"/>
      <c r="CH38" s="18"/>
      <c r="CI38" s="19">
        <f t="shared" si="188"/>
        <v>0</v>
      </c>
    </row>
    <row r="39" spans="3:87" x14ac:dyDescent="0.25">
      <c r="C39" s="17" t="s">
        <v>44</v>
      </c>
      <c r="E39" s="18"/>
      <c r="F39" s="18"/>
      <c r="G39" s="18"/>
      <c r="H39" s="18"/>
      <c r="I39" s="18"/>
      <c r="J39" s="18"/>
      <c r="K39" s="18"/>
      <c r="L39" s="18"/>
      <c r="M39" s="18"/>
      <c r="N39" s="18"/>
      <c r="O39" s="18"/>
      <c r="P39" s="18"/>
      <c r="Q39" s="19">
        <f t="shared" si="189"/>
        <v>0</v>
      </c>
      <c r="S39" s="18"/>
      <c r="T39" s="18"/>
      <c r="U39" s="18"/>
      <c r="V39" s="18"/>
      <c r="W39" s="18"/>
      <c r="X39" s="18"/>
      <c r="Y39" s="18"/>
      <c r="Z39" s="18"/>
      <c r="AA39" s="18"/>
      <c r="AB39" s="18"/>
      <c r="AC39" s="18"/>
      <c r="AD39" s="18"/>
      <c r="AE39" s="19">
        <f t="shared" si="184"/>
        <v>0</v>
      </c>
      <c r="AG39" s="18"/>
      <c r="AH39" s="18"/>
      <c r="AI39" s="18"/>
      <c r="AJ39" s="18"/>
      <c r="AK39" s="18"/>
      <c r="AL39" s="18"/>
      <c r="AM39" s="18"/>
      <c r="AN39" s="18"/>
      <c r="AO39" s="18"/>
      <c r="AP39" s="18"/>
      <c r="AQ39" s="18"/>
      <c r="AR39" s="18"/>
      <c r="AS39" s="19">
        <f t="shared" si="185"/>
        <v>0</v>
      </c>
      <c r="AU39" s="18"/>
      <c r="AV39" s="18"/>
      <c r="AW39" s="18"/>
      <c r="AX39" s="18"/>
      <c r="AY39" s="18"/>
      <c r="AZ39" s="18"/>
      <c r="BA39" s="18"/>
      <c r="BB39" s="18"/>
      <c r="BC39" s="18"/>
      <c r="BD39" s="18"/>
      <c r="BE39" s="18"/>
      <c r="BF39" s="18"/>
      <c r="BG39" s="19">
        <f t="shared" si="186"/>
        <v>0</v>
      </c>
      <c r="BI39" s="18"/>
      <c r="BJ39" s="18"/>
      <c r="BK39" s="18"/>
      <c r="BL39" s="18"/>
      <c r="BM39" s="18"/>
      <c r="BN39" s="18"/>
      <c r="BO39" s="18"/>
      <c r="BP39" s="18"/>
      <c r="BQ39" s="18"/>
      <c r="BR39" s="18"/>
      <c r="BS39" s="18"/>
      <c r="BT39" s="18"/>
      <c r="BU39" s="19">
        <f t="shared" si="187"/>
        <v>0</v>
      </c>
      <c r="BW39" s="18"/>
      <c r="BX39" s="18"/>
      <c r="BY39" s="18"/>
      <c r="BZ39" s="18"/>
      <c r="CA39" s="18"/>
      <c r="CB39" s="18"/>
      <c r="CC39" s="18"/>
      <c r="CD39" s="18"/>
      <c r="CE39" s="18"/>
      <c r="CF39" s="18"/>
      <c r="CG39" s="18"/>
      <c r="CH39" s="18"/>
      <c r="CI39" s="19">
        <f t="shared" si="188"/>
        <v>0</v>
      </c>
    </row>
    <row r="40" spans="3:87" x14ac:dyDescent="0.25">
      <c r="C40" s="17" t="s">
        <v>45</v>
      </c>
      <c r="E40" s="18"/>
      <c r="F40" s="18"/>
      <c r="G40" s="18"/>
      <c r="H40" s="18"/>
      <c r="I40" s="18"/>
      <c r="J40" s="18"/>
      <c r="K40" s="18"/>
      <c r="L40" s="18"/>
      <c r="M40" s="18"/>
      <c r="N40" s="18"/>
      <c r="O40" s="18"/>
      <c r="P40" s="18"/>
      <c r="Q40" s="19">
        <f t="shared" si="189"/>
        <v>0</v>
      </c>
      <c r="S40" s="18"/>
      <c r="T40" s="18"/>
      <c r="U40" s="18"/>
      <c r="V40" s="18"/>
      <c r="W40" s="18"/>
      <c r="X40" s="18"/>
      <c r="Y40" s="18"/>
      <c r="Z40" s="18"/>
      <c r="AA40" s="18"/>
      <c r="AB40" s="18"/>
      <c r="AC40" s="18"/>
      <c r="AD40" s="18"/>
      <c r="AE40" s="19">
        <f t="shared" si="184"/>
        <v>0</v>
      </c>
      <c r="AG40" s="18"/>
      <c r="AH40" s="18"/>
      <c r="AI40" s="18"/>
      <c r="AJ40" s="18"/>
      <c r="AK40" s="18"/>
      <c r="AL40" s="18"/>
      <c r="AM40" s="18"/>
      <c r="AN40" s="18"/>
      <c r="AO40" s="18"/>
      <c r="AP40" s="18"/>
      <c r="AQ40" s="18"/>
      <c r="AR40" s="18"/>
      <c r="AS40" s="19">
        <f t="shared" si="185"/>
        <v>0</v>
      </c>
      <c r="AU40" s="18"/>
      <c r="AV40" s="18"/>
      <c r="AW40" s="18"/>
      <c r="AX40" s="18"/>
      <c r="AY40" s="18"/>
      <c r="AZ40" s="18"/>
      <c r="BA40" s="18"/>
      <c r="BB40" s="18"/>
      <c r="BC40" s="18"/>
      <c r="BD40" s="18"/>
      <c r="BE40" s="18"/>
      <c r="BF40" s="18"/>
      <c r="BG40" s="19">
        <f t="shared" si="186"/>
        <v>0</v>
      </c>
      <c r="BI40" s="18"/>
      <c r="BJ40" s="18"/>
      <c r="BK40" s="18"/>
      <c r="BL40" s="18"/>
      <c r="BM40" s="18"/>
      <c r="BN40" s="18"/>
      <c r="BO40" s="18"/>
      <c r="BP40" s="18"/>
      <c r="BQ40" s="18"/>
      <c r="BR40" s="18"/>
      <c r="BS40" s="18"/>
      <c r="BT40" s="18"/>
      <c r="BU40" s="19">
        <f t="shared" si="187"/>
        <v>0</v>
      </c>
      <c r="BW40" s="18"/>
      <c r="BX40" s="18"/>
      <c r="BY40" s="18"/>
      <c r="BZ40" s="18"/>
      <c r="CA40" s="18"/>
      <c r="CB40" s="18"/>
      <c r="CC40" s="18"/>
      <c r="CD40" s="18"/>
      <c r="CE40" s="18"/>
      <c r="CF40" s="18"/>
      <c r="CG40" s="18"/>
      <c r="CH40" s="18"/>
      <c r="CI40" s="19">
        <f t="shared" si="188"/>
        <v>0</v>
      </c>
    </row>
    <row r="41" spans="3:87" x14ac:dyDescent="0.25">
      <c r="C41" s="17" t="s">
        <v>46</v>
      </c>
      <c r="E41" s="18"/>
      <c r="F41" s="18"/>
      <c r="G41" s="18"/>
      <c r="H41" s="18"/>
      <c r="I41" s="18"/>
      <c r="J41" s="18"/>
      <c r="K41" s="18"/>
      <c r="L41" s="18"/>
      <c r="M41" s="18"/>
      <c r="N41" s="18"/>
      <c r="O41" s="18"/>
      <c r="P41" s="18"/>
      <c r="Q41" s="19"/>
      <c r="S41" s="18"/>
      <c r="T41" s="18"/>
      <c r="U41" s="18"/>
      <c r="V41" s="18"/>
      <c r="W41" s="18"/>
      <c r="X41" s="18"/>
      <c r="Y41" s="18"/>
      <c r="Z41" s="18"/>
      <c r="AA41" s="18"/>
      <c r="AB41" s="18"/>
      <c r="AC41" s="18"/>
      <c r="AD41" s="18"/>
      <c r="AE41" s="19">
        <f t="shared" si="184"/>
        <v>0</v>
      </c>
      <c r="AG41" s="18"/>
      <c r="AH41" s="18"/>
      <c r="AI41" s="18"/>
      <c r="AJ41" s="18"/>
      <c r="AK41" s="18"/>
      <c r="AL41" s="18"/>
      <c r="AM41" s="18"/>
      <c r="AN41" s="18"/>
      <c r="AO41" s="18"/>
      <c r="AP41" s="18"/>
      <c r="AQ41" s="18"/>
      <c r="AR41" s="18"/>
      <c r="AS41" s="19">
        <f t="shared" si="185"/>
        <v>0</v>
      </c>
      <c r="AU41" s="18"/>
      <c r="AV41" s="18"/>
      <c r="AW41" s="18"/>
      <c r="AX41" s="18"/>
      <c r="AY41" s="18"/>
      <c r="AZ41" s="18"/>
      <c r="BA41" s="18"/>
      <c r="BB41" s="18"/>
      <c r="BC41" s="18"/>
      <c r="BD41" s="18"/>
      <c r="BE41" s="18"/>
      <c r="BF41" s="18"/>
      <c r="BG41" s="19">
        <f t="shared" si="186"/>
        <v>0</v>
      </c>
      <c r="BI41" s="18"/>
      <c r="BJ41" s="18"/>
      <c r="BK41" s="18"/>
      <c r="BL41" s="18"/>
      <c r="BM41" s="18"/>
      <c r="BN41" s="18"/>
      <c r="BO41" s="18"/>
      <c r="BP41" s="18"/>
      <c r="BQ41" s="18"/>
      <c r="BR41" s="18"/>
      <c r="BS41" s="18"/>
      <c r="BT41" s="18"/>
      <c r="BU41" s="19">
        <f t="shared" si="187"/>
        <v>0</v>
      </c>
      <c r="BW41" s="18"/>
      <c r="BX41" s="18"/>
      <c r="BY41" s="18"/>
      <c r="BZ41" s="18"/>
      <c r="CA41" s="18"/>
      <c r="CB41" s="18"/>
      <c r="CC41" s="18"/>
      <c r="CD41" s="18"/>
      <c r="CE41" s="18"/>
      <c r="CF41" s="18"/>
      <c r="CG41" s="18"/>
      <c r="CH41" s="18"/>
      <c r="CI41" s="19">
        <f t="shared" si="188"/>
        <v>0</v>
      </c>
    </row>
    <row r="42" spans="3:87" x14ac:dyDescent="0.25">
      <c r="C42" s="17" t="s">
        <v>47</v>
      </c>
      <c r="E42" s="18"/>
      <c r="F42" s="18"/>
      <c r="G42" s="18"/>
      <c r="H42" s="18"/>
      <c r="I42" s="18"/>
      <c r="J42" s="18"/>
      <c r="K42" s="18"/>
      <c r="L42" s="18"/>
      <c r="M42" s="18"/>
      <c r="N42" s="18"/>
      <c r="O42" s="18"/>
      <c r="P42" s="18"/>
      <c r="Q42" s="19">
        <f t="shared" si="189"/>
        <v>0</v>
      </c>
      <c r="S42" s="18"/>
      <c r="T42" s="18"/>
      <c r="U42" s="18"/>
      <c r="V42" s="18"/>
      <c r="W42" s="18"/>
      <c r="X42" s="18"/>
      <c r="Y42" s="18"/>
      <c r="Z42" s="18"/>
      <c r="AA42" s="18"/>
      <c r="AB42" s="18"/>
      <c r="AC42" s="18"/>
      <c r="AD42" s="18"/>
      <c r="AE42" s="19">
        <f t="shared" si="184"/>
        <v>0</v>
      </c>
      <c r="AG42" s="18"/>
      <c r="AH42" s="18"/>
      <c r="AI42" s="18"/>
      <c r="AJ42" s="18"/>
      <c r="AK42" s="18"/>
      <c r="AL42" s="18"/>
      <c r="AM42" s="18"/>
      <c r="AN42" s="18"/>
      <c r="AO42" s="18"/>
      <c r="AP42" s="18"/>
      <c r="AQ42" s="18"/>
      <c r="AR42" s="18"/>
      <c r="AS42" s="19">
        <f t="shared" si="185"/>
        <v>0</v>
      </c>
      <c r="AU42" s="18"/>
      <c r="AV42" s="18"/>
      <c r="AW42" s="18"/>
      <c r="AX42" s="18"/>
      <c r="AY42" s="18"/>
      <c r="AZ42" s="18"/>
      <c r="BA42" s="18"/>
      <c r="BB42" s="18"/>
      <c r="BC42" s="18"/>
      <c r="BD42" s="18"/>
      <c r="BE42" s="18"/>
      <c r="BF42" s="18"/>
      <c r="BG42" s="19">
        <f t="shared" si="186"/>
        <v>0</v>
      </c>
      <c r="BI42" s="18"/>
      <c r="BJ42" s="18"/>
      <c r="BK42" s="18"/>
      <c r="BL42" s="18"/>
      <c r="BM42" s="18"/>
      <c r="BN42" s="18"/>
      <c r="BO42" s="18"/>
      <c r="BP42" s="18"/>
      <c r="BQ42" s="18"/>
      <c r="BR42" s="18"/>
      <c r="BS42" s="18"/>
      <c r="BT42" s="18"/>
      <c r="BU42" s="19">
        <f t="shared" si="187"/>
        <v>0</v>
      </c>
      <c r="BW42" s="18"/>
      <c r="BX42" s="18"/>
      <c r="BY42" s="18"/>
      <c r="BZ42" s="18"/>
      <c r="CA42" s="18"/>
      <c r="CB42" s="18"/>
      <c r="CC42" s="18"/>
      <c r="CD42" s="18"/>
      <c r="CE42" s="18"/>
      <c r="CF42" s="18"/>
      <c r="CG42" s="18"/>
      <c r="CH42" s="18"/>
      <c r="CI42" s="19">
        <f t="shared" si="188"/>
        <v>0</v>
      </c>
    </row>
    <row r="43" spans="3:87" x14ac:dyDescent="0.25">
      <c r="C43" s="17" t="s">
        <v>48</v>
      </c>
      <c r="E43" s="18"/>
      <c r="F43" s="18"/>
      <c r="G43" s="18"/>
      <c r="H43" s="18"/>
      <c r="I43" s="18"/>
      <c r="J43" s="18"/>
      <c r="K43" s="18"/>
      <c r="L43" s="18"/>
      <c r="M43" s="18"/>
      <c r="N43" s="18"/>
      <c r="O43" s="18"/>
      <c r="P43" s="18"/>
      <c r="Q43" s="19">
        <f t="shared" si="189"/>
        <v>0</v>
      </c>
      <c r="S43" s="18"/>
      <c r="T43" s="18"/>
      <c r="U43" s="18"/>
      <c r="V43" s="18"/>
      <c r="W43" s="18"/>
      <c r="X43" s="18"/>
      <c r="Y43" s="18"/>
      <c r="Z43" s="18"/>
      <c r="AA43" s="18"/>
      <c r="AB43" s="18"/>
      <c r="AC43" s="18"/>
      <c r="AD43" s="18"/>
      <c r="AE43" s="19">
        <f t="shared" si="184"/>
        <v>0</v>
      </c>
      <c r="AG43" s="18"/>
      <c r="AH43" s="18"/>
      <c r="AI43" s="18"/>
      <c r="AJ43" s="18"/>
      <c r="AK43" s="18"/>
      <c r="AL43" s="18"/>
      <c r="AM43" s="18"/>
      <c r="AN43" s="18"/>
      <c r="AO43" s="18"/>
      <c r="AP43" s="18"/>
      <c r="AQ43" s="18"/>
      <c r="AR43" s="18"/>
      <c r="AS43" s="19">
        <f t="shared" si="185"/>
        <v>0</v>
      </c>
      <c r="AU43" s="18"/>
      <c r="AV43" s="18"/>
      <c r="AW43" s="18"/>
      <c r="AX43" s="18"/>
      <c r="AY43" s="18"/>
      <c r="AZ43" s="18"/>
      <c r="BA43" s="18"/>
      <c r="BB43" s="18"/>
      <c r="BC43" s="18"/>
      <c r="BD43" s="18"/>
      <c r="BE43" s="18"/>
      <c r="BF43" s="18"/>
      <c r="BG43" s="19">
        <f t="shared" si="186"/>
        <v>0</v>
      </c>
      <c r="BI43" s="18"/>
      <c r="BJ43" s="18"/>
      <c r="BK43" s="18"/>
      <c r="BL43" s="18"/>
      <c r="BM43" s="18"/>
      <c r="BN43" s="18"/>
      <c r="BO43" s="18"/>
      <c r="BP43" s="18"/>
      <c r="BQ43" s="18"/>
      <c r="BR43" s="18"/>
      <c r="BS43" s="18"/>
      <c r="BT43" s="18"/>
      <c r="BU43" s="19">
        <f t="shared" si="187"/>
        <v>0</v>
      </c>
      <c r="BW43" s="18"/>
      <c r="BX43" s="18"/>
      <c r="BY43" s="18"/>
      <c r="BZ43" s="18"/>
      <c r="CA43" s="18"/>
      <c r="CB43" s="18"/>
      <c r="CC43" s="18"/>
      <c r="CD43" s="18"/>
      <c r="CE43" s="18"/>
      <c r="CF43" s="18"/>
      <c r="CG43" s="18"/>
      <c r="CH43" s="18"/>
      <c r="CI43" s="19">
        <f t="shared" si="188"/>
        <v>0</v>
      </c>
    </row>
    <row r="44" spans="3:87" x14ac:dyDescent="0.25">
      <c r="C44" s="17" t="s">
        <v>49</v>
      </c>
      <c r="E44" s="18"/>
      <c r="F44" s="18"/>
      <c r="G44" s="18"/>
      <c r="H44" s="18"/>
      <c r="I44" s="18"/>
      <c r="J44" s="18"/>
      <c r="K44" s="18"/>
      <c r="L44" s="18"/>
      <c r="M44" s="18"/>
      <c r="N44" s="18"/>
      <c r="O44" s="18"/>
      <c r="P44" s="18"/>
      <c r="Q44" s="19">
        <f t="shared" si="189"/>
        <v>0</v>
      </c>
      <c r="S44" s="18"/>
      <c r="T44" s="18"/>
      <c r="U44" s="18"/>
      <c r="V44" s="18"/>
      <c r="W44" s="18"/>
      <c r="X44" s="18"/>
      <c r="Y44" s="18"/>
      <c r="Z44" s="18"/>
      <c r="AA44" s="18"/>
      <c r="AB44" s="18"/>
      <c r="AC44" s="18"/>
      <c r="AD44" s="18"/>
      <c r="AE44" s="19">
        <f t="shared" si="184"/>
        <v>0</v>
      </c>
      <c r="AG44" s="18"/>
      <c r="AH44" s="18"/>
      <c r="AI44" s="18"/>
      <c r="AJ44" s="18"/>
      <c r="AK44" s="18"/>
      <c r="AL44" s="18"/>
      <c r="AM44" s="18"/>
      <c r="AN44" s="18"/>
      <c r="AO44" s="18"/>
      <c r="AP44" s="18"/>
      <c r="AQ44" s="18"/>
      <c r="AR44" s="18"/>
      <c r="AS44" s="19">
        <f t="shared" si="185"/>
        <v>0</v>
      </c>
      <c r="AU44" s="18"/>
      <c r="AV44" s="18"/>
      <c r="AW44" s="18"/>
      <c r="AX44" s="18"/>
      <c r="AY44" s="18"/>
      <c r="AZ44" s="18"/>
      <c r="BA44" s="18"/>
      <c r="BB44" s="18"/>
      <c r="BC44" s="18"/>
      <c r="BD44" s="18"/>
      <c r="BE44" s="18"/>
      <c r="BF44" s="18"/>
      <c r="BG44" s="19">
        <f t="shared" si="186"/>
        <v>0</v>
      </c>
      <c r="BI44" s="18"/>
      <c r="BJ44" s="18"/>
      <c r="BK44" s="18"/>
      <c r="BL44" s="18"/>
      <c r="BM44" s="18"/>
      <c r="BN44" s="18"/>
      <c r="BO44" s="18"/>
      <c r="BP44" s="18"/>
      <c r="BQ44" s="18"/>
      <c r="BR44" s="18"/>
      <c r="BS44" s="18"/>
      <c r="BT44" s="18"/>
      <c r="BU44" s="19">
        <f t="shared" si="187"/>
        <v>0</v>
      </c>
      <c r="BW44" s="18"/>
      <c r="BX44" s="18"/>
      <c r="BY44" s="18"/>
      <c r="BZ44" s="18"/>
      <c r="CA44" s="18"/>
      <c r="CB44" s="18"/>
      <c r="CC44" s="18"/>
      <c r="CD44" s="18"/>
      <c r="CE44" s="18"/>
      <c r="CF44" s="18"/>
      <c r="CG44" s="18"/>
      <c r="CH44" s="18"/>
      <c r="CI44" s="19">
        <f t="shared" si="188"/>
        <v>0</v>
      </c>
    </row>
    <row r="45" spans="3:87" x14ac:dyDescent="0.25">
      <c r="C45" s="17" t="s">
        <v>49</v>
      </c>
      <c r="E45" s="18"/>
      <c r="F45" s="18"/>
      <c r="G45" s="18"/>
      <c r="H45" s="18"/>
      <c r="I45" s="18"/>
      <c r="J45" s="18"/>
      <c r="K45" s="18"/>
      <c r="L45" s="18"/>
      <c r="M45" s="18"/>
      <c r="N45" s="18"/>
      <c r="O45" s="18"/>
      <c r="P45" s="18"/>
      <c r="Q45" s="19">
        <f t="shared" si="189"/>
        <v>0</v>
      </c>
      <c r="S45" s="18"/>
      <c r="T45" s="18"/>
      <c r="U45" s="18"/>
      <c r="V45" s="18"/>
      <c r="W45" s="18"/>
      <c r="X45" s="18"/>
      <c r="Y45" s="18"/>
      <c r="Z45" s="18"/>
      <c r="AA45" s="18"/>
      <c r="AB45" s="18"/>
      <c r="AC45" s="18"/>
      <c r="AD45" s="18"/>
      <c r="AE45" s="19">
        <f t="shared" si="184"/>
        <v>0</v>
      </c>
      <c r="AG45" s="18"/>
      <c r="AH45" s="18"/>
      <c r="AI45" s="18"/>
      <c r="AJ45" s="18"/>
      <c r="AK45" s="18"/>
      <c r="AL45" s="18"/>
      <c r="AM45" s="18"/>
      <c r="AN45" s="18"/>
      <c r="AO45" s="18"/>
      <c r="AP45" s="18"/>
      <c r="AQ45" s="18"/>
      <c r="AR45" s="18"/>
      <c r="AS45" s="19">
        <f t="shared" si="185"/>
        <v>0</v>
      </c>
      <c r="AU45" s="18"/>
      <c r="AV45" s="18"/>
      <c r="AW45" s="18"/>
      <c r="AX45" s="18"/>
      <c r="AY45" s="18"/>
      <c r="AZ45" s="18"/>
      <c r="BA45" s="18"/>
      <c r="BB45" s="18"/>
      <c r="BC45" s="18"/>
      <c r="BD45" s="18"/>
      <c r="BE45" s="18"/>
      <c r="BF45" s="18"/>
      <c r="BG45" s="19">
        <f t="shared" si="186"/>
        <v>0</v>
      </c>
      <c r="BI45" s="18"/>
      <c r="BJ45" s="18"/>
      <c r="BK45" s="18"/>
      <c r="BL45" s="18"/>
      <c r="BM45" s="18"/>
      <c r="BN45" s="18"/>
      <c r="BO45" s="18"/>
      <c r="BP45" s="18"/>
      <c r="BQ45" s="18"/>
      <c r="BR45" s="18"/>
      <c r="BS45" s="18"/>
      <c r="BT45" s="18"/>
      <c r="BU45" s="19">
        <f t="shared" si="187"/>
        <v>0</v>
      </c>
      <c r="BW45" s="18"/>
      <c r="BX45" s="18"/>
      <c r="BY45" s="18"/>
      <c r="BZ45" s="18"/>
      <c r="CA45" s="18"/>
      <c r="CB45" s="18"/>
      <c r="CC45" s="18"/>
      <c r="CD45" s="18"/>
      <c r="CE45" s="18"/>
      <c r="CF45" s="18"/>
      <c r="CG45" s="18"/>
      <c r="CH45" s="18"/>
      <c r="CI45" s="19">
        <f t="shared" si="188"/>
        <v>0</v>
      </c>
    </row>
    <row r="46" spans="3:87" x14ac:dyDescent="0.25">
      <c r="C46" s="17" t="s">
        <v>49</v>
      </c>
      <c r="E46" s="18"/>
      <c r="F46" s="18"/>
      <c r="G46" s="18"/>
      <c r="H46" s="18"/>
      <c r="I46" s="18"/>
      <c r="J46" s="18"/>
      <c r="K46" s="18"/>
      <c r="L46" s="18"/>
      <c r="M46" s="18"/>
      <c r="N46" s="18"/>
      <c r="O46" s="18"/>
      <c r="P46" s="18"/>
      <c r="Q46" s="19">
        <f t="shared" si="189"/>
        <v>0</v>
      </c>
      <c r="S46" s="18"/>
      <c r="T46" s="18"/>
      <c r="U46" s="18"/>
      <c r="V46" s="18"/>
      <c r="W46" s="18"/>
      <c r="X46" s="18"/>
      <c r="Y46" s="18"/>
      <c r="Z46" s="18"/>
      <c r="AA46" s="18"/>
      <c r="AB46" s="18"/>
      <c r="AC46" s="18"/>
      <c r="AD46" s="18"/>
      <c r="AE46" s="19">
        <f t="shared" si="184"/>
        <v>0</v>
      </c>
      <c r="AG46" s="18"/>
      <c r="AH46" s="18"/>
      <c r="AI46" s="18"/>
      <c r="AJ46" s="18"/>
      <c r="AK46" s="18"/>
      <c r="AL46" s="18"/>
      <c r="AM46" s="18"/>
      <c r="AN46" s="18"/>
      <c r="AO46" s="18"/>
      <c r="AP46" s="18"/>
      <c r="AQ46" s="18"/>
      <c r="AR46" s="18"/>
      <c r="AS46" s="19">
        <f t="shared" si="185"/>
        <v>0</v>
      </c>
      <c r="AU46" s="18"/>
      <c r="AV46" s="18"/>
      <c r="AW46" s="18"/>
      <c r="AX46" s="18"/>
      <c r="AY46" s="18"/>
      <c r="AZ46" s="18"/>
      <c r="BA46" s="18"/>
      <c r="BB46" s="18"/>
      <c r="BC46" s="18"/>
      <c r="BD46" s="18"/>
      <c r="BE46" s="18"/>
      <c r="BF46" s="18"/>
      <c r="BG46" s="19">
        <f t="shared" si="186"/>
        <v>0</v>
      </c>
      <c r="BI46" s="18"/>
      <c r="BJ46" s="18"/>
      <c r="BK46" s="18"/>
      <c r="BL46" s="18"/>
      <c r="BM46" s="18"/>
      <c r="BN46" s="18"/>
      <c r="BO46" s="18"/>
      <c r="BP46" s="18"/>
      <c r="BQ46" s="18"/>
      <c r="BR46" s="18"/>
      <c r="BS46" s="18"/>
      <c r="BT46" s="18"/>
      <c r="BU46" s="19">
        <f t="shared" si="187"/>
        <v>0</v>
      </c>
      <c r="BW46" s="18"/>
      <c r="BX46" s="18"/>
      <c r="BY46" s="18"/>
      <c r="BZ46" s="18"/>
      <c r="CA46" s="18"/>
      <c r="CB46" s="18"/>
      <c r="CC46" s="18"/>
      <c r="CD46" s="18"/>
      <c r="CE46" s="18"/>
      <c r="CF46" s="18"/>
      <c r="CG46" s="18"/>
      <c r="CH46" s="18"/>
      <c r="CI46" s="19">
        <f t="shared" si="188"/>
        <v>0</v>
      </c>
    </row>
    <row r="47" spans="3:87" x14ac:dyDescent="0.25">
      <c r="C47" s="17" t="s">
        <v>49</v>
      </c>
      <c r="E47" s="18"/>
      <c r="F47" s="18"/>
      <c r="G47" s="18"/>
      <c r="H47" s="18"/>
      <c r="I47" s="18"/>
      <c r="J47" s="18"/>
      <c r="K47" s="18"/>
      <c r="L47" s="18"/>
      <c r="M47" s="18"/>
      <c r="N47" s="18"/>
      <c r="O47" s="18"/>
      <c r="P47" s="18"/>
      <c r="Q47" s="19">
        <f t="shared" si="189"/>
        <v>0</v>
      </c>
      <c r="S47" s="18"/>
      <c r="T47" s="18"/>
      <c r="U47" s="18"/>
      <c r="V47" s="18"/>
      <c r="W47" s="18"/>
      <c r="X47" s="18"/>
      <c r="Y47" s="18"/>
      <c r="Z47" s="18"/>
      <c r="AA47" s="18"/>
      <c r="AB47" s="18"/>
      <c r="AC47" s="18"/>
      <c r="AD47" s="18"/>
      <c r="AE47" s="19">
        <f t="shared" si="184"/>
        <v>0</v>
      </c>
      <c r="AG47" s="18"/>
      <c r="AH47" s="18"/>
      <c r="AI47" s="18"/>
      <c r="AJ47" s="18"/>
      <c r="AK47" s="18"/>
      <c r="AL47" s="18"/>
      <c r="AM47" s="18"/>
      <c r="AN47" s="18"/>
      <c r="AO47" s="18"/>
      <c r="AP47" s="18"/>
      <c r="AQ47" s="18"/>
      <c r="AR47" s="18"/>
      <c r="AS47" s="19">
        <f t="shared" si="185"/>
        <v>0</v>
      </c>
      <c r="AU47" s="18"/>
      <c r="AV47" s="18"/>
      <c r="AW47" s="18"/>
      <c r="AX47" s="18"/>
      <c r="AY47" s="18"/>
      <c r="AZ47" s="18"/>
      <c r="BA47" s="18"/>
      <c r="BB47" s="18"/>
      <c r="BC47" s="18"/>
      <c r="BD47" s="18"/>
      <c r="BE47" s="18"/>
      <c r="BF47" s="18"/>
      <c r="BG47" s="19">
        <f t="shared" si="186"/>
        <v>0</v>
      </c>
      <c r="BI47" s="18"/>
      <c r="BJ47" s="18"/>
      <c r="BK47" s="18"/>
      <c r="BL47" s="18"/>
      <c r="BM47" s="18"/>
      <c r="BN47" s="18"/>
      <c r="BO47" s="18"/>
      <c r="BP47" s="18"/>
      <c r="BQ47" s="18"/>
      <c r="BR47" s="18"/>
      <c r="BS47" s="18"/>
      <c r="BT47" s="18"/>
      <c r="BU47" s="19">
        <f t="shared" si="187"/>
        <v>0</v>
      </c>
      <c r="BW47" s="18"/>
      <c r="BX47" s="18"/>
      <c r="BY47" s="18"/>
      <c r="BZ47" s="18"/>
      <c r="CA47" s="18"/>
      <c r="CB47" s="18"/>
      <c r="CC47" s="18"/>
      <c r="CD47" s="18"/>
      <c r="CE47" s="18"/>
      <c r="CF47" s="18"/>
      <c r="CG47" s="18"/>
      <c r="CH47" s="18"/>
      <c r="CI47" s="19">
        <f t="shared" si="188"/>
        <v>0</v>
      </c>
    </row>
    <row r="48" spans="3:87" x14ac:dyDescent="0.25">
      <c r="C48" s="17" t="s">
        <v>49</v>
      </c>
      <c r="E48" s="18"/>
      <c r="F48" s="18"/>
      <c r="G48" s="18"/>
      <c r="H48" s="18"/>
      <c r="I48" s="18"/>
      <c r="J48" s="18"/>
      <c r="K48" s="18"/>
      <c r="L48" s="18"/>
      <c r="M48" s="18"/>
      <c r="N48" s="18"/>
      <c r="O48" s="18"/>
      <c r="P48" s="18"/>
      <c r="Q48" s="19">
        <f t="shared" ref="Q48:Q57" si="190">SUM(E48:P48)</f>
        <v>0</v>
      </c>
      <c r="S48" s="18"/>
      <c r="T48" s="18"/>
      <c r="U48" s="18"/>
      <c r="V48" s="18"/>
      <c r="W48" s="18"/>
      <c r="X48" s="18"/>
      <c r="Y48" s="18"/>
      <c r="Z48" s="18"/>
      <c r="AA48" s="18"/>
      <c r="AB48" s="18"/>
      <c r="AC48" s="18"/>
      <c r="AD48" s="18"/>
      <c r="AE48" s="19">
        <f t="shared" si="179"/>
        <v>0</v>
      </c>
      <c r="AG48" s="18"/>
      <c r="AH48" s="18"/>
      <c r="AI48" s="18"/>
      <c r="AJ48" s="18"/>
      <c r="AK48" s="18"/>
      <c r="AL48" s="18"/>
      <c r="AM48" s="18"/>
      <c r="AN48" s="18"/>
      <c r="AO48" s="18"/>
      <c r="AP48" s="18"/>
      <c r="AQ48" s="18"/>
      <c r="AR48" s="18"/>
      <c r="AS48" s="19">
        <f t="shared" si="180"/>
        <v>0</v>
      </c>
      <c r="AU48" s="18"/>
      <c r="AV48" s="18"/>
      <c r="AW48" s="18"/>
      <c r="AX48" s="18"/>
      <c r="AY48" s="18"/>
      <c r="AZ48" s="18"/>
      <c r="BA48" s="18"/>
      <c r="BB48" s="18"/>
      <c r="BC48" s="18"/>
      <c r="BD48" s="18"/>
      <c r="BE48" s="18"/>
      <c r="BF48" s="18"/>
      <c r="BG48" s="19">
        <f>SUM(AU48:BF48)</f>
        <v>0</v>
      </c>
      <c r="BI48" s="18"/>
      <c r="BJ48" s="18"/>
      <c r="BK48" s="18"/>
      <c r="BL48" s="18"/>
      <c r="BM48" s="18"/>
      <c r="BN48" s="18"/>
      <c r="BO48" s="18"/>
      <c r="BP48" s="18"/>
      <c r="BQ48" s="18"/>
      <c r="BR48" s="18"/>
      <c r="BS48" s="18"/>
      <c r="BT48" s="18"/>
      <c r="BU48" s="19">
        <f t="shared" si="182"/>
        <v>0</v>
      </c>
      <c r="BW48" s="18"/>
      <c r="BX48" s="18"/>
      <c r="BY48" s="18"/>
      <c r="BZ48" s="18"/>
      <c r="CA48" s="18"/>
      <c r="CB48" s="18"/>
      <c r="CC48" s="18"/>
      <c r="CD48" s="18"/>
      <c r="CE48" s="18"/>
      <c r="CF48" s="18"/>
      <c r="CG48" s="18"/>
      <c r="CH48" s="18"/>
      <c r="CI48" s="19">
        <f t="shared" si="183"/>
        <v>0</v>
      </c>
    </row>
    <row r="49" spans="3:87" x14ac:dyDescent="0.25">
      <c r="C49" s="17" t="s">
        <v>49</v>
      </c>
      <c r="E49" s="18"/>
      <c r="F49" s="18"/>
      <c r="G49" s="18"/>
      <c r="H49" s="18"/>
      <c r="I49" s="18"/>
      <c r="J49" s="18"/>
      <c r="K49" s="18"/>
      <c r="L49" s="18"/>
      <c r="M49" s="18"/>
      <c r="N49" s="18"/>
      <c r="O49" s="18"/>
      <c r="P49" s="18"/>
      <c r="Q49" s="19">
        <f t="shared" si="190"/>
        <v>0</v>
      </c>
      <c r="S49" s="18"/>
      <c r="T49" s="18"/>
      <c r="U49" s="18"/>
      <c r="V49" s="18"/>
      <c r="W49" s="18"/>
      <c r="X49" s="18"/>
      <c r="Y49" s="18"/>
      <c r="Z49" s="18"/>
      <c r="AA49" s="18"/>
      <c r="AB49" s="18"/>
      <c r="AC49" s="18"/>
      <c r="AD49" s="18"/>
      <c r="AE49" s="19">
        <f t="shared" si="179"/>
        <v>0</v>
      </c>
      <c r="AG49" s="18"/>
      <c r="AH49" s="18"/>
      <c r="AI49" s="18"/>
      <c r="AJ49" s="18"/>
      <c r="AK49" s="18"/>
      <c r="AL49" s="18"/>
      <c r="AM49" s="18"/>
      <c r="AN49" s="18"/>
      <c r="AO49" s="18"/>
      <c r="AP49" s="18"/>
      <c r="AQ49" s="18"/>
      <c r="AR49" s="18"/>
      <c r="AS49" s="19">
        <f t="shared" si="180"/>
        <v>0</v>
      </c>
      <c r="AU49" s="18"/>
      <c r="AV49" s="18"/>
      <c r="AW49" s="18"/>
      <c r="AX49" s="18"/>
      <c r="AY49" s="18"/>
      <c r="AZ49" s="18"/>
      <c r="BA49" s="18"/>
      <c r="BB49" s="18"/>
      <c r="BC49" s="18"/>
      <c r="BD49" s="18"/>
      <c r="BE49" s="18"/>
      <c r="BF49" s="18"/>
      <c r="BG49" s="19">
        <f t="shared" si="181"/>
        <v>0</v>
      </c>
      <c r="BI49" s="18"/>
      <c r="BJ49" s="18"/>
      <c r="BK49" s="18"/>
      <c r="BL49" s="18"/>
      <c r="BM49" s="18"/>
      <c r="BN49" s="18"/>
      <c r="BO49" s="18"/>
      <c r="BP49" s="18"/>
      <c r="BQ49" s="18"/>
      <c r="BR49" s="18"/>
      <c r="BS49" s="18"/>
      <c r="BT49" s="18"/>
      <c r="BU49" s="19">
        <f t="shared" si="182"/>
        <v>0</v>
      </c>
      <c r="BW49" s="18"/>
      <c r="BX49" s="18"/>
      <c r="BY49" s="18"/>
      <c r="BZ49" s="18"/>
      <c r="CA49" s="18"/>
      <c r="CB49" s="18"/>
      <c r="CC49" s="18"/>
      <c r="CD49" s="18"/>
      <c r="CE49" s="18"/>
      <c r="CF49" s="18"/>
      <c r="CG49" s="18"/>
      <c r="CH49" s="18"/>
      <c r="CI49" s="19">
        <f t="shared" si="183"/>
        <v>0</v>
      </c>
    </row>
    <row r="50" spans="3:87" x14ac:dyDescent="0.25">
      <c r="C50" s="17" t="s">
        <v>49</v>
      </c>
      <c r="E50" s="18"/>
      <c r="F50" s="18"/>
      <c r="G50" s="18"/>
      <c r="H50" s="18"/>
      <c r="I50" s="18"/>
      <c r="J50" s="18"/>
      <c r="K50" s="18"/>
      <c r="L50" s="18"/>
      <c r="M50" s="18"/>
      <c r="N50" s="18"/>
      <c r="O50" s="18"/>
      <c r="P50" s="18"/>
      <c r="Q50" s="19">
        <f t="shared" si="190"/>
        <v>0</v>
      </c>
      <c r="S50" s="18"/>
      <c r="T50" s="18"/>
      <c r="U50" s="18"/>
      <c r="V50" s="18"/>
      <c r="W50" s="18"/>
      <c r="X50" s="18"/>
      <c r="Y50" s="18"/>
      <c r="Z50" s="18"/>
      <c r="AA50" s="18"/>
      <c r="AB50" s="18"/>
      <c r="AC50" s="18"/>
      <c r="AD50" s="18"/>
      <c r="AE50" s="19">
        <f t="shared" si="179"/>
        <v>0</v>
      </c>
      <c r="AG50" s="18"/>
      <c r="AH50" s="18"/>
      <c r="AI50" s="18"/>
      <c r="AJ50" s="18"/>
      <c r="AK50" s="18"/>
      <c r="AL50" s="18"/>
      <c r="AM50" s="18"/>
      <c r="AN50" s="18"/>
      <c r="AO50" s="18"/>
      <c r="AP50" s="18"/>
      <c r="AQ50" s="18"/>
      <c r="AR50" s="18"/>
      <c r="AS50" s="19">
        <f t="shared" si="180"/>
        <v>0</v>
      </c>
      <c r="AU50" s="18"/>
      <c r="AV50" s="18"/>
      <c r="AW50" s="18"/>
      <c r="AX50" s="18"/>
      <c r="AY50" s="18"/>
      <c r="AZ50" s="18"/>
      <c r="BA50" s="18"/>
      <c r="BB50" s="18"/>
      <c r="BC50" s="18"/>
      <c r="BD50" s="18"/>
      <c r="BE50" s="18"/>
      <c r="BF50" s="18"/>
      <c r="BG50" s="19">
        <f t="shared" si="181"/>
        <v>0</v>
      </c>
      <c r="BI50" s="18"/>
      <c r="BJ50" s="18"/>
      <c r="BK50" s="18"/>
      <c r="BL50" s="18"/>
      <c r="BM50" s="18"/>
      <c r="BN50" s="18"/>
      <c r="BO50" s="18"/>
      <c r="BP50" s="18"/>
      <c r="BQ50" s="18"/>
      <c r="BR50" s="18"/>
      <c r="BS50" s="18"/>
      <c r="BT50" s="18"/>
      <c r="BU50" s="19">
        <f t="shared" si="182"/>
        <v>0</v>
      </c>
      <c r="BW50" s="18"/>
      <c r="BX50" s="18"/>
      <c r="BY50" s="18"/>
      <c r="BZ50" s="18"/>
      <c r="CA50" s="18"/>
      <c r="CB50" s="18"/>
      <c r="CC50" s="18"/>
      <c r="CD50" s="18"/>
      <c r="CE50" s="18"/>
      <c r="CF50" s="18"/>
      <c r="CG50" s="18"/>
      <c r="CH50" s="18"/>
      <c r="CI50" s="19">
        <f t="shared" si="183"/>
        <v>0</v>
      </c>
    </row>
    <row r="51" spans="3:87" x14ac:dyDescent="0.25">
      <c r="C51" s="17" t="s">
        <v>49</v>
      </c>
      <c r="E51" s="18"/>
      <c r="F51" s="18"/>
      <c r="G51" s="18"/>
      <c r="H51" s="18"/>
      <c r="I51" s="18"/>
      <c r="J51" s="18"/>
      <c r="K51" s="18"/>
      <c r="L51" s="18"/>
      <c r="M51" s="18"/>
      <c r="N51" s="18"/>
      <c r="O51" s="18"/>
      <c r="P51" s="18"/>
      <c r="Q51" s="19">
        <f t="shared" si="190"/>
        <v>0</v>
      </c>
      <c r="S51" s="18"/>
      <c r="T51" s="18"/>
      <c r="U51" s="18"/>
      <c r="V51" s="18"/>
      <c r="W51" s="18"/>
      <c r="X51" s="18"/>
      <c r="Y51" s="18"/>
      <c r="Z51" s="18"/>
      <c r="AA51" s="18"/>
      <c r="AB51" s="18"/>
      <c r="AC51" s="18"/>
      <c r="AD51" s="18"/>
      <c r="AE51" s="19">
        <f t="shared" si="179"/>
        <v>0</v>
      </c>
      <c r="AG51" s="18"/>
      <c r="AH51" s="18"/>
      <c r="AI51" s="18"/>
      <c r="AJ51" s="18"/>
      <c r="AK51" s="18"/>
      <c r="AL51" s="18"/>
      <c r="AM51" s="18"/>
      <c r="AN51" s="18"/>
      <c r="AO51" s="18"/>
      <c r="AP51" s="18"/>
      <c r="AQ51" s="18"/>
      <c r="AR51" s="18"/>
      <c r="AS51" s="19">
        <f t="shared" si="180"/>
        <v>0</v>
      </c>
      <c r="AU51" s="18"/>
      <c r="AV51" s="18"/>
      <c r="AW51" s="18"/>
      <c r="AX51" s="18"/>
      <c r="AY51" s="18"/>
      <c r="AZ51" s="18"/>
      <c r="BA51" s="18"/>
      <c r="BB51" s="18"/>
      <c r="BC51" s="18"/>
      <c r="BD51" s="18"/>
      <c r="BE51" s="18"/>
      <c r="BF51" s="18"/>
      <c r="BG51" s="19">
        <f t="shared" si="181"/>
        <v>0</v>
      </c>
      <c r="BI51" s="18"/>
      <c r="BJ51" s="18"/>
      <c r="BK51" s="18"/>
      <c r="BL51" s="18"/>
      <c r="BM51" s="18"/>
      <c r="BN51" s="18"/>
      <c r="BO51" s="18"/>
      <c r="BP51" s="18"/>
      <c r="BQ51" s="18"/>
      <c r="BR51" s="18"/>
      <c r="BS51" s="18"/>
      <c r="BT51" s="18"/>
      <c r="BU51" s="19">
        <f t="shared" si="182"/>
        <v>0</v>
      </c>
      <c r="BW51" s="18"/>
      <c r="BX51" s="18"/>
      <c r="BY51" s="18"/>
      <c r="BZ51" s="18"/>
      <c r="CA51" s="18"/>
      <c r="CB51" s="18"/>
      <c r="CC51" s="18"/>
      <c r="CD51" s="18"/>
      <c r="CE51" s="18"/>
      <c r="CF51" s="18"/>
      <c r="CG51" s="18"/>
      <c r="CH51" s="18"/>
      <c r="CI51" s="19">
        <f t="shared" si="183"/>
        <v>0</v>
      </c>
    </row>
    <row r="52" spans="3:87" x14ac:dyDescent="0.25">
      <c r="C52" s="17" t="s">
        <v>49</v>
      </c>
      <c r="E52" s="18"/>
      <c r="F52" s="18"/>
      <c r="G52" s="18"/>
      <c r="H52" s="18"/>
      <c r="I52" s="18"/>
      <c r="J52" s="18"/>
      <c r="K52" s="18"/>
      <c r="L52" s="18"/>
      <c r="M52" s="18"/>
      <c r="N52" s="18"/>
      <c r="O52" s="18"/>
      <c r="P52" s="18"/>
      <c r="Q52" s="19">
        <f t="shared" si="190"/>
        <v>0</v>
      </c>
      <c r="S52" s="18"/>
      <c r="T52" s="18"/>
      <c r="U52" s="18"/>
      <c r="V52" s="18"/>
      <c r="W52" s="18"/>
      <c r="X52" s="18"/>
      <c r="Y52" s="18"/>
      <c r="Z52" s="18"/>
      <c r="AA52" s="18"/>
      <c r="AB52" s="18"/>
      <c r="AC52" s="18"/>
      <c r="AD52" s="18"/>
      <c r="AE52" s="19">
        <f t="shared" si="179"/>
        <v>0</v>
      </c>
      <c r="AG52" s="18"/>
      <c r="AH52" s="18"/>
      <c r="AI52" s="18"/>
      <c r="AJ52" s="18"/>
      <c r="AK52" s="18"/>
      <c r="AL52" s="18"/>
      <c r="AM52" s="18"/>
      <c r="AN52" s="18"/>
      <c r="AO52" s="18"/>
      <c r="AP52" s="18"/>
      <c r="AQ52" s="18"/>
      <c r="AR52" s="18"/>
      <c r="AS52" s="19">
        <f t="shared" si="180"/>
        <v>0</v>
      </c>
      <c r="AU52" s="18"/>
      <c r="AV52" s="18"/>
      <c r="AW52" s="18"/>
      <c r="AX52" s="18"/>
      <c r="AY52" s="18"/>
      <c r="AZ52" s="18"/>
      <c r="BA52" s="18"/>
      <c r="BB52" s="18"/>
      <c r="BC52" s="18"/>
      <c r="BD52" s="18"/>
      <c r="BE52" s="18"/>
      <c r="BF52" s="18"/>
      <c r="BG52" s="19">
        <f t="shared" si="181"/>
        <v>0</v>
      </c>
      <c r="BI52" s="18"/>
      <c r="BJ52" s="18"/>
      <c r="BK52" s="18"/>
      <c r="BL52" s="18"/>
      <c r="BM52" s="18"/>
      <c r="BN52" s="18"/>
      <c r="BO52" s="18"/>
      <c r="BP52" s="18"/>
      <c r="BQ52" s="18"/>
      <c r="BR52" s="18"/>
      <c r="BS52" s="18"/>
      <c r="BT52" s="18"/>
      <c r="BU52" s="19">
        <f t="shared" si="182"/>
        <v>0</v>
      </c>
      <c r="BW52" s="18"/>
      <c r="BX52" s="18"/>
      <c r="BY52" s="18"/>
      <c r="BZ52" s="18"/>
      <c r="CA52" s="18"/>
      <c r="CB52" s="18"/>
      <c r="CC52" s="18"/>
      <c r="CD52" s="18"/>
      <c r="CE52" s="18"/>
      <c r="CF52" s="18"/>
      <c r="CG52" s="18"/>
      <c r="CH52" s="18"/>
      <c r="CI52" s="19">
        <f t="shared" si="183"/>
        <v>0</v>
      </c>
    </row>
    <row r="53" spans="3:87" x14ac:dyDescent="0.25">
      <c r="C53" s="17" t="s">
        <v>49</v>
      </c>
      <c r="E53" s="18"/>
      <c r="F53" s="18"/>
      <c r="G53" s="18"/>
      <c r="H53" s="18"/>
      <c r="I53" s="18"/>
      <c r="J53" s="18"/>
      <c r="K53" s="18"/>
      <c r="L53" s="18"/>
      <c r="M53" s="18"/>
      <c r="N53" s="18"/>
      <c r="O53" s="18"/>
      <c r="P53" s="18"/>
      <c r="Q53" s="19">
        <f t="shared" si="190"/>
        <v>0</v>
      </c>
      <c r="S53" s="18"/>
      <c r="T53" s="18"/>
      <c r="U53" s="18"/>
      <c r="V53" s="18"/>
      <c r="W53" s="18"/>
      <c r="X53" s="18"/>
      <c r="Y53" s="18"/>
      <c r="Z53" s="18"/>
      <c r="AA53" s="18"/>
      <c r="AB53" s="18"/>
      <c r="AC53" s="18"/>
      <c r="AD53" s="18"/>
      <c r="AE53" s="19">
        <f t="shared" ref="AE53:AE57" si="191">SUM(S53:AD53)</f>
        <v>0</v>
      </c>
      <c r="AG53" s="18"/>
      <c r="AH53" s="18"/>
      <c r="AI53" s="18"/>
      <c r="AJ53" s="18"/>
      <c r="AK53" s="18"/>
      <c r="AL53" s="18"/>
      <c r="AM53" s="18"/>
      <c r="AN53" s="18"/>
      <c r="AO53" s="18"/>
      <c r="AP53" s="18"/>
      <c r="AQ53" s="18"/>
      <c r="AR53" s="18"/>
      <c r="AS53" s="19">
        <f t="shared" ref="AS53:AS57" si="192">SUM(AG53:AR53)</f>
        <v>0</v>
      </c>
      <c r="AU53" s="18"/>
      <c r="AV53" s="18"/>
      <c r="AW53" s="18"/>
      <c r="AX53" s="18"/>
      <c r="AY53" s="18"/>
      <c r="AZ53" s="18"/>
      <c r="BA53" s="18"/>
      <c r="BB53" s="18"/>
      <c r="BC53" s="18"/>
      <c r="BD53" s="18"/>
      <c r="BE53" s="18"/>
      <c r="BF53" s="18"/>
      <c r="BG53" s="19">
        <f t="shared" ref="BG53:BG57" si="193">SUM(AU53:BF53)</f>
        <v>0</v>
      </c>
      <c r="BI53" s="18"/>
      <c r="BJ53" s="18"/>
      <c r="BK53" s="18"/>
      <c r="BL53" s="18"/>
      <c r="BM53" s="18"/>
      <c r="BN53" s="18"/>
      <c r="BO53" s="18"/>
      <c r="BP53" s="18"/>
      <c r="BQ53" s="18"/>
      <c r="BR53" s="18"/>
      <c r="BS53" s="18"/>
      <c r="BT53" s="18"/>
      <c r="BU53" s="19">
        <f t="shared" ref="BU53:BU57" si="194">SUM(BI53:BT53)</f>
        <v>0</v>
      </c>
      <c r="BW53" s="18"/>
      <c r="BX53" s="18"/>
      <c r="BY53" s="18"/>
      <c r="BZ53" s="18"/>
      <c r="CA53" s="18"/>
      <c r="CB53" s="18"/>
      <c r="CC53" s="18"/>
      <c r="CD53" s="18"/>
      <c r="CE53" s="18"/>
      <c r="CF53" s="18"/>
      <c r="CG53" s="18"/>
      <c r="CH53" s="18"/>
      <c r="CI53" s="19">
        <f t="shared" ref="CI53:CI57" si="195">SUM(BW53:CH53)</f>
        <v>0</v>
      </c>
    </row>
    <row r="54" spans="3:87" x14ac:dyDescent="0.25">
      <c r="C54" s="17" t="s">
        <v>49</v>
      </c>
      <c r="E54" s="18"/>
      <c r="F54" s="18"/>
      <c r="G54" s="18"/>
      <c r="H54" s="18"/>
      <c r="I54" s="18"/>
      <c r="J54" s="18"/>
      <c r="K54" s="18"/>
      <c r="L54" s="18"/>
      <c r="M54" s="18"/>
      <c r="N54" s="18"/>
      <c r="O54" s="18"/>
      <c r="P54" s="18"/>
      <c r="Q54" s="19">
        <f t="shared" si="190"/>
        <v>0</v>
      </c>
      <c r="S54" s="18"/>
      <c r="T54" s="18"/>
      <c r="U54" s="18"/>
      <c r="V54" s="18"/>
      <c r="W54" s="18"/>
      <c r="X54" s="18"/>
      <c r="Y54" s="18"/>
      <c r="Z54" s="18"/>
      <c r="AA54" s="18"/>
      <c r="AB54" s="18"/>
      <c r="AC54" s="18"/>
      <c r="AD54" s="18"/>
      <c r="AE54" s="19">
        <f t="shared" si="191"/>
        <v>0</v>
      </c>
      <c r="AG54" s="18"/>
      <c r="AH54" s="18"/>
      <c r="AI54" s="18"/>
      <c r="AJ54" s="18"/>
      <c r="AK54" s="18"/>
      <c r="AL54" s="18"/>
      <c r="AM54" s="18"/>
      <c r="AN54" s="18"/>
      <c r="AO54" s="18"/>
      <c r="AP54" s="18"/>
      <c r="AQ54" s="18"/>
      <c r="AR54" s="18"/>
      <c r="AS54" s="19">
        <f t="shared" si="192"/>
        <v>0</v>
      </c>
      <c r="AU54" s="18"/>
      <c r="AV54" s="18"/>
      <c r="AW54" s="18"/>
      <c r="AX54" s="18"/>
      <c r="AY54" s="18"/>
      <c r="AZ54" s="18"/>
      <c r="BA54" s="18"/>
      <c r="BB54" s="18"/>
      <c r="BC54" s="18"/>
      <c r="BD54" s="18"/>
      <c r="BE54" s="18"/>
      <c r="BF54" s="18"/>
      <c r="BG54" s="19">
        <f t="shared" si="193"/>
        <v>0</v>
      </c>
      <c r="BI54" s="18"/>
      <c r="BJ54" s="18"/>
      <c r="BK54" s="18"/>
      <c r="BL54" s="18"/>
      <c r="BM54" s="18"/>
      <c r="BN54" s="18"/>
      <c r="BO54" s="18"/>
      <c r="BP54" s="18"/>
      <c r="BQ54" s="18"/>
      <c r="BR54" s="18"/>
      <c r="BS54" s="18"/>
      <c r="BT54" s="18"/>
      <c r="BU54" s="19">
        <f t="shared" si="194"/>
        <v>0</v>
      </c>
      <c r="BW54" s="18"/>
      <c r="BX54" s="18"/>
      <c r="BY54" s="18"/>
      <c r="BZ54" s="18"/>
      <c r="CA54" s="18"/>
      <c r="CB54" s="18"/>
      <c r="CC54" s="18"/>
      <c r="CD54" s="18"/>
      <c r="CE54" s="18"/>
      <c r="CF54" s="18"/>
      <c r="CG54" s="18"/>
      <c r="CH54" s="18"/>
      <c r="CI54" s="19">
        <f t="shared" si="195"/>
        <v>0</v>
      </c>
    </row>
    <row r="55" spans="3:87" x14ac:dyDescent="0.25">
      <c r="C55" s="17" t="s">
        <v>49</v>
      </c>
      <c r="E55" s="18"/>
      <c r="F55" s="18"/>
      <c r="G55" s="18"/>
      <c r="H55" s="18"/>
      <c r="I55" s="18"/>
      <c r="J55" s="18"/>
      <c r="K55" s="18"/>
      <c r="L55" s="18"/>
      <c r="M55" s="18"/>
      <c r="N55" s="18"/>
      <c r="O55" s="18"/>
      <c r="P55" s="18"/>
      <c r="Q55" s="19">
        <f t="shared" si="190"/>
        <v>0</v>
      </c>
      <c r="S55" s="18"/>
      <c r="T55" s="18"/>
      <c r="U55" s="18"/>
      <c r="V55" s="18"/>
      <c r="W55" s="18"/>
      <c r="X55" s="18"/>
      <c r="Y55" s="18"/>
      <c r="Z55" s="18"/>
      <c r="AA55" s="18"/>
      <c r="AB55" s="18"/>
      <c r="AC55" s="18"/>
      <c r="AD55" s="18"/>
      <c r="AE55" s="19">
        <f t="shared" si="191"/>
        <v>0</v>
      </c>
      <c r="AG55" s="18"/>
      <c r="AH55" s="18"/>
      <c r="AI55" s="18"/>
      <c r="AJ55" s="18"/>
      <c r="AK55" s="18"/>
      <c r="AL55" s="18"/>
      <c r="AM55" s="18"/>
      <c r="AN55" s="18"/>
      <c r="AO55" s="18"/>
      <c r="AP55" s="18"/>
      <c r="AQ55" s="18"/>
      <c r="AR55" s="18"/>
      <c r="AS55" s="19">
        <f t="shared" si="192"/>
        <v>0</v>
      </c>
      <c r="AU55" s="18"/>
      <c r="AV55" s="18"/>
      <c r="AW55" s="18"/>
      <c r="AX55" s="18"/>
      <c r="AY55" s="18"/>
      <c r="AZ55" s="18"/>
      <c r="BA55" s="18"/>
      <c r="BB55" s="18"/>
      <c r="BC55" s="18"/>
      <c r="BD55" s="18"/>
      <c r="BE55" s="18"/>
      <c r="BF55" s="18"/>
      <c r="BG55" s="19">
        <f t="shared" si="193"/>
        <v>0</v>
      </c>
      <c r="BI55" s="18"/>
      <c r="BJ55" s="18"/>
      <c r="BK55" s="18"/>
      <c r="BL55" s="18"/>
      <c r="BM55" s="18"/>
      <c r="BN55" s="18"/>
      <c r="BO55" s="18"/>
      <c r="BP55" s="18"/>
      <c r="BQ55" s="18"/>
      <c r="BR55" s="18"/>
      <c r="BS55" s="18"/>
      <c r="BT55" s="18"/>
      <c r="BU55" s="19">
        <f t="shared" si="194"/>
        <v>0</v>
      </c>
      <c r="BW55" s="18"/>
      <c r="BX55" s="18"/>
      <c r="BY55" s="18"/>
      <c r="BZ55" s="18"/>
      <c r="CA55" s="18"/>
      <c r="CB55" s="18"/>
      <c r="CC55" s="18"/>
      <c r="CD55" s="18"/>
      <c r="CE55" s="18"/>
      <c r="CF55" s="18"/>
      <c r="CG55" s="18"/>
      <c r="CH55" s="18"/>
      <c r="CI55" s="19">
        <f t="shared" si="195"/>
        <v>0</v>
      </c>
    </row>
    <row r="56" spans="3:87" x14ac:dyDescent="0.25">
      <c r="C56" s="17" t="s">
        <v>49</v>
      </c>
      <c r="E56" s="18"/>
      <c r="F56" s="18"/>
      <c r="G56" s="18"/>
      <c r="H56" s="18"/>
      <c r="I56" s="18"/>
      <c r="J56" s="18"/>
      <c r="K56" s="18"/>
      <c r="L56" s="18"/>
      <c r="M56" s="18"/>
      <c r="N56" s="18"/>
      <c r="O56" s="18"/>
      <c r="P56" s="18"/>
      <c r="Q56" s="19">
        <f t="shared" si="190"/>
        <v>0</v>
      </c>
      <c r="S56" s="18"/>
      <c r="T56" s="18"/>
      <c r="U56" s="18"/>
      <c r="V56" s="18"/>
      <c r="W56" s="18"/>
      <c r="X56" s="18"/>
      <c r="Y56" s="18"/>
      <c r="Z56" s="18"/>
      <c r="AA56" s="18"/>
      <c r="AB56" s="18"/>
      <c r="AC56" s="18"/>
      <c r="AD56" s="18"/>
      <c r="AE56" s="19">
        <f t="shared" si="191"/>
        <v>0</v>
      </c>
      <c r="AG56" s="18"/>
      <c r="AH56" s="18"/>
      <c r="AI56" s="18"/>
      <c r="AJ56" s="18"/>
      <c r="AK56" s="18"/>
      <c r="AL56" s="18"/>
      <c r="AM56" s="18"/>
      <c r="AN56" s="18"/>
      <c r="AO56" s="18"/>
      <c r="AP56" s="18"/>
      <c r="AQ56" s="18"/>
      <c r="AR56" s="18"/>
      <c r="AS56" s="19">
        <f t="shared" si="192"/>
        <v>0</v>
      </c>
      <c r="AU56" s="18"/>
      <c r="AV56" s="18"/>
      <c r="AW56" s="18"/>
      <c r="AX56" s="18"/>
      <c r="AY56" s="18"/>
      <c r="AZ56" s="18"/>
      <c r="BA56" s="18"/>
      <c r="BB56" s="18"/>
      <c r="BC56" s="18"/>
      <c r="BD56" s="18"/>
      <c r="BE56" s="18"/>
      <c r="BF56" s="18"/>
      <c r="BG56" s="19">
        <f t="shared" si="193"/>
        <v>0</v>
      </c>
      <c r="BI56" s="18"/>
      <c r="BJ56" s="18"/>
      <c r="BK56" s="18"/>
      <c r="BL56" s="18"/>
      <c r="BM56" s="18"/>
      <c r="BN56" s="18"/>
      <c r="BO56" s="18"/>
      <c r="BP56" s="18"/>
      <c r="BQ56" s="18"/>
      <c r="BR56" s="18"/>
      <c r="BS56" s="18"/>
      <c r="BT56" s="18"/>
      <c r="BU56" s="19">
        <f t="shared" si="194"/>
        <v>0</v>
      </c>
      <c r="BW56" s="18"/>
      <c r="BX56" s="18"/>
      <c r="BY56" s="18"/>
      <c r="BZ56" s="18"/>
      <c r="CA56" s="18"/>
      <c r="CB56" s="18"/>
      <c r="CC56" s="18"/>
      <c r="CD56" s="18"/>
      <c r="CE56" s="18"/>
      <c r="CF56" s="18"/>
      <c r="CG56" s="18"/>
      <c r="CH56" s="18"/>
      <c r="CI56" s="19">
        <f t="shared" si="195"/>
        <v>0</v>
      </c>
    </row>
    <row r="57" spans="3:87" x14ac:dyDescent="0.25">
      <c r="C57" s="17" t="s">
        <v>49</v>
      </c>
      <c r="E57" s="18"/>
      <c r="F57" s="18"/>
      <c r="G57" s="18"/>
      <c r="H57" s="18"/>
      <c r="I57" s="18"/>
      <c r="J57" s="18"/>
      <c r="K57" s="18"/>
      <c r="L57" s="18"/>
      <c r="M57" s="18"/>
      <c r="N57" s="18"/>
      <c r="O57" s="18"/>
      <c r="P57" s="18"/>
      <c r="Q57" s="19">
        <f t="shared" si="190"/>
        <v>0</v>
      </c>
      <c r="S57" s="18"/>
      <c r="T57" s="18"/>
      <c r="U57" s="18"/>
      <c r="V57" s="18"/>
      <c r="W57" s="18"/>
      <c r="X57" s="18"/>
      <c r="Y57" s="18"/>
      <c r="Z57" s="18"/>
      <c r="AA57" s="18"/>
      <c r="AB57" s="18"/>
      <c r="AC57" s="18"/>
      <c r="AD57" s="18"/>
      <c r="AE57" s="19">
        <f t="shared" si="191"/>
        <v>0</v>
      </c>
      <c r="AG57" s="18"/>
      <c r="AH57" s="18"/>
      <c r="AI57" s="18"/>
      <c r="AJ57" s="18"/>
      <c r="AK57" s="18"/>
      <c r="AL57" s="18"/>
      <c r="AM57" s="18"/>
      <c r="AN57" s="18"/>
      <c r="AO57" s="18"/>
      <c r="AP57" s="18"/>
      <c r="AQ57" s="18"/>
      <c r="AR57" s="18"/>
      <c r="AS57" s="19">
        <f t="shared" si="192"/>
        <v>0</v>
      </c>
      <c r="AU57" s="18"/>
      <c r="AV57" s="18"/>
      <c r="AW57" s="18"/>
      <c r="AX57" s="18"/>
      <c r="AY57" s="18"/>
      <c r="AZ57" s="18"/>
      <c r="BA57" s="18"/>
      <c r="BB57" s="18"/>
      <c r="BC57" s="18"/>
      <c r="BD57" s="18"/>
      <c r="BE57" s="18"/>
      <c r="BF57" s="18"/>
      <c r="BG57" s="19">
        <f t="shared" si="193"/>
        <v>0</v>
      </c>
      <c r="BI57" s="18"/>
      <c r="BJ57" s="18"/>
      <c r="BK57" s="18"/>
      <c r="BL57" s="18"/>
      <c r="BM57" s="18"/>
      <c r="BN57" s="18"/>
      <c r="BO57" s="18"/>
      <c r="BP57" s="18"/>
      <c r="BQ57" s="18"/>
      <c r="BR57" s="18"/>
      <c r="BS57" s="18"/>
      <c r="BT57" s="18"/>
      <c r="BU57" s="19">
        <f t="shared" si="194"/>
        <v>0</v>
      </c>
      <c r="BW57" s="18"/>
      <c r="BX57" s="18"/>
      <c r="BY57" s="18"/>
      <c r="BZ57" s="18"/>
      <c r="CA57" s="18"/>
      <c r="CB57" s="18"/>
      <c r="CC57" s="18"/>
      <c r="CD57" s="18"/>
      <c r="CE57" s="18"/>
      <c r="CF57" s="18"/>
      <c r="CG57" s="18"/>
      <c r="CH57" s="18"/>
      <c r="CI57" s="19">
        <f t="shared" si="195"/>
        <v>0</v>
      </c>
    </row>
    <row r="58" spans="3:87" x14ac:dyDescent="0.25">
      <c r="C58" s="17" t="s">
        <v>49</v>
      </c>
      <c r="E58" s="18"/>
      <c r="F58" s="18"/>
      <c r="G58" s="18"/>
      <c r="H58" s="18"/>
      <c r="I58" s="18"/>
      <c r="J58" s="18"/>
      <c r="K58" s="18"/>
      <c r="L58" s="18"/>
      <c r="M58" s="18"/>
      <c r="N58" s="18"/>
      <c r="O58" s="18"/>
      <c r="P58" s="18"/>
      <c r="Q58" s="19">
        <f t="shared" si="178"/>
        <v>0</v>
      </c>
      <c r="S58" s="18"/>
      <c r="T58" s="18"/>
      <c r="U58" s="18"/>
      <c r="V58" s="18"/>
      <c r="W58" s="18"/>
      <c r="X58" s="18"/>
      <c r="Y58" s="18"/>
      <c r="Z58" s="18"/>
      <c r="AA58" s="18"/>
      <c r="AB58" s="18"/>
      <c r="AC58" s="18"/>
      <c r="AD58" s="18"/>
      <c r="AE58" s="19">
        <f t="shared" ref="AE58:AE62" si="196">SUM(S58:AD58)</f>
        <v>0</v>
      </c>
      <c r="AG58" s="18"/>
      <c r="AH58" s="18"/>
      <c r="AI58" s="18"/>
      <c r="AJ58" s="18"/>
      <c r="AK58" s="18"/>
      <c r="AL58" s="18"/>
      <c r="AM58" s="18"/>
      <c r="AN58" s="18"/>
      <c r="AO58" s="18"/>
      <c r="AP58" s="18"/>
      <c r="AQ58" s="18"/>
      <c r="AR58" s="18"/>
      <c r="AS58" s="19">
        <f t="shared" ref="AS58:AS62" si="197">SUM(AG58:AR58)</f>
        <v>0</v>
      </c>
      <c r="AU58" s="18"/>
      <c r="AV58" s="18"/>
      <c r="AW58" s="18"/>
      <c r="AX58" s="18"/>
      <c r="AY58" s="18"/>
      <c r="AZ58" s="18"/>
      <c r="BA58" s="18"/>
      <c r="BB58" s="18"/>
      <c r="BC58" s="18"/>
      <c r="BD58" s="18"/>
      <c r="BE58" s="18"/>
      <c r="BF58" s="18"/>
      <c r="BG58" s="19">
        <f t="shared" ref="BG58:BG62" si="198">SUM(AU58:BF58)</f>
        <v>0</v>
      </c>
      <c r="BI58" s="18"/>
      <c r="BJ58" s="18"/>
      <c r="BK58" s="18"/>
      <c r="BL58" s="18"/>
      <c r="BM58" s="18"/>
      <c r="BN58" s="18"/>
      <c r="BO58" s="18"/>
      <c r="BP58" s="18"/>
      <c r="BQ58" s="18"/>
      <c r="BR58" s="18"/>
      <c r="BS58" s="18"/>
      <c r="BT58" s="18"/>
      <c r="BU58" s="19">
        <f t="shared" ref="BU58:BU62" si="199">SUM(BI58:BT58)</f>
        <v>0</v>
      </c>
      <c r="BW58" s="18"/>
      <c r="BX58" s="18"/>
      <c r="BY58" s="18"/>
      <c r="BZ58" s="18"/>
      <c r="CA58" s="18"/>
      <c r="CB58" s="18"/>
      <c r="CC58" s="18"/>
      <c r="CD58" s="18"/>
      <c r="CE58" s="18"/>
      <c r="CF58" s="18"/>
      <c r="CG58" s="18"/>
      <c r="CH58" s="18"/>
      <c r="CI58" s="19">
        <f t="shared" ref="CI58:CI62" si="200">SUM(BW58:CH58)</f>
        <v>0</v>
      </c>
    </row>
    <row r="59" spans="3:87" x14ac:dyDescent="0.25">
      <c r="C59" s="17" t="s">
        <v>49</v>
      </c>
      <c r="E59" s="18"/>
      <c r="F59" s="18"/>
      <c r="G59" s="18"/>
      <c r="H59" s="18"/>
      <c r="I59" s="18"/>
      <c r="J59" s="18"/>
      <c r="K59" s="18"/>
      <c r="L59" s="18"/>
      <c r="M59" s="18"/>
      <c r="N59" s="18"/>
      <c r="O59" s="18"/>
      <c r="P59" s="18"/>
      <c r="Q59" s="19">
        <f t="shared" ref="Q59:Q62" si="201">SUM(E59:P59)</f>
        <v>0</v>
      </c>
      <c r="S59" s="18"/>
      <c r="T59" s="18"/>
      <c r="U59" s="18"/>
      <c r="V59" s="18"/>
      <c r="W59" s="18"/>
      <c r="X59" s="18"/>
      <c r="Y59" s="18"/>
      <c r="Z59" s="18"/>
      <c r="AA59" s="18"/>
      <c r="AB59" s="18"/>
      <c r="AC59" s="18"/>
      <c r="AD59" s="18"/>
      <c r="AE59" s="19">
        <f t="shared" si="196"/>
        <v>0</v>
      </c>
      <c r="AG59" s="18"/>
      <c r="AH59" s="18"/>
      <c r="AI59" s="18"/>
      <c r="AJ59" s="18"/>
      <c r="AK59" s="18"/>
      <c r="AL59" s="18"/>
      <c r="AM59" s="18"/>
      <c r="AN59" s="18"/>
      <c r="AO59" s="18"/>
      <c r="AP59" s="18"/>
      <c r="AQ59" s="18"/>
      <c r="AR59" s="18"/>
      <c r="AS59" s="19">
        <f t="shared" si="197"/>
        <v>0</v>
      </c>
      <c r="AU59" s="18"/>
      <c r="AV59" s="18"/>
      <c r="AW59" s="18"/>
      <c r="AX59" s="18"/>
      <c r="AY59" s="18"/>
      <c r="AZ59" s="18"/>
      <c r="BA59" s="18"/>
      <c r="BB59" s="18"/>
      <c r="BC59" s="18"/>
      <c r="BD59" s="18"/>
      <c r="BE59" s="18"/>
      <c r="BF59" s="18"/>
      <c r="BG59" s="19">
        <f t="shared" si="198"/>
        <v>0</v>
      </c>
      <c r="BI59" s="18"/>
      <c r="BJ59" s="18"/>
      <c r="BK59" s="18"/>
      <c r="BL59" s="18"/>
      <c r="BM59" s="18"/>
      <c r="BN59" s="18"/>
      <c r="BO59" s="18"/>
      <c r="BP59" s="18"/>
      <c r="BQ59" s="18"/>
      <c r="BR59" s="18"/>
      <c r="BS59" s="18"/>
      <c r="BT59" s="18"/>
      <c r="BU59" s="19">
        <f t="shared" si="199"/>
        <v>0</v>
      </c>
      <c r="BW59" s="18"/>
      <c r="BX59" s="18"/>
      <c r="BY59" s="18"/>
      <c r="BZ59" s="18"/>
      <c r="CA59" s="18"/>
      <c r="CB59" s="18"/>
      <c r="CC59" s="18"/>
      <c r="CD59" s="18"/>
      <c r="CE59" s="18"/>
      <c r="CF59" s="18"/>
      <c r="CG59" s="18"/>
      <c r="CH59" s="18"/>
      <c r="CI59" s="19">
        <f t="shared" si="200"/>
        <v>0</v>
      </c>
    </row>
    <row r="60" spans="3:87" x14ac:dyDescent="0.25">
      <c r="C60" s="17" t="s">
        <v>49</v>
      </c>
      <c r="E60" s="18"/>
      <c r="F60" s="18"/>
      <c r="G60" s="18"/>
      <c r="H60" s="18"/>
      <c r="I60" s="18"/>
      <c r="J60" s="18"/>
      <c r="K60" s="18"/>
      <c r="L60" s="18"/>
      <c r="M60" s="18"/>
      <c r="N60" s="18"/>
      <c r="O60" s="18"/>
      <c r="P60" s="18"/>
      <c r="Q60" s="19">
        <f t="shared" si="201"/>
        <v>0</v>
      </c>
      <c r="S60" s="18"/>
      <c r="T60" s="18"/>
      <c r="U60" s="18"/>
      <c r="V60" s="18"/>
      <c r="W60" s="18"/>
      <c r="X60" s="18"/>
      <c r="Y60" s="18"/>
      <c r="Z60" s="18"/>
      <c r="AA60" s="18"/>
      <c r="AB60" s="18"/>
      <c r="AC60" s="18"/>
      <c r="AD60" s="18"/>
      <c r="AE60" s="19">
        <f t="shared" si="196"/>
        <v>0</v>
      </c>
      <c r="AG60" s="18"/>
      <c r="AH60" s="18"/>
      <c r="AI60" s="18"/>
      <c r="AJ60" s="18"/>
      <c r="AK60" s="18"/>
      <c r="AL60" s="18"/>
      <c r="AM60" s="18"/>
      <c r="AN60" s="18"/>
      <c r="AO60" s="18"/>
      <c r="AP60" s="18"/>
      <c r="AQ60" s="18"/>
      <c r="AR60" s="18"/>
      <c r="AS60" s="19">
        <f t="shared" si="197"/>
        <v>0</v>
      </c>
      <c r="AU60" s="18"/>
      <c r="AV60" s="18"/>
      <c r="AW60" s="18"/>
      <c r="AX60" s="18"/>
      <c r="AY60" s="18"/>
      <c r="AZ60" s="18"/>
      <c r="BA60" s="18"/>
      <c r="BB60" s="18"/>
      <c r="BC60" s="18"/>
      <c r="BD60" s="18"/>
      <c r="BE60" s="18"/>
      <c r="BF60" s="18"/>
      <c r="BG60" s="19">
        <f t="shared" si="198"/>
        <v>0</v>
      </c>
      <c r="BI60" s="18"/>
      <c r="BJ60" s="18"/>
      <c r="BK60" s="18"/>
      <c r="BL60" s="18"/>
      <c r="BM60" s="18"/>
      <c r="BN60" s="18"/>
      <c r="BO60" s="18"/>
      <c r="BP60" s="18"/>
      <c r="BQ60" s="18"/>
      <c r="BR60" s="18"/>
      <c r="BS60" s="18"/>
      <c r="BT60" s="18"/>
      <c r="BU60" s="19">
        <f t="shared" si="199"/>
        <v>0</v>
      </c>
      <c r="BW60" s="18"/>
      <c r="BX60" s="18"/>
      <c r="BY60" s="18"/>
      <c r="BZ60" s="18"/>
      <c r="CA60" s="18"/>
      <c r="CB60" s="18"/>
      <c r="CC60" s="18"/>
      <c r="CD60" s="18"/>
      <c r="CE60" s="18"/>
      <c r="CF60" s="18"/>
      <c r="CG60" s="18"/>
      <c r="CH60" s="18"/>
      <c r="CI60" s="19">
        <f t="shared" si="200"/>
        <v>0</v>
      </c>
    </row>
    <row r="61" spans="3:87" x14ac:dyDescent="0.25">
      <c r="C61" s="17" t="s">
        <v>49</v>
      </c>
      <c r="E61" s="18"/>
      <c r="F61" s="18"/>
      <c r="G61" s="18"/>
      <c r="H61" s="18"/>
      <c r="I61" s="18"/>
      <c r="J61" s="18"/>
      <c r="K61" s="18"/>
      <c r="L61" s="18"/>
      <c r="M61" s="18"/>
      <c r="N61" s="18"/>
      <c r="O61" s="18"/>
      <c r="P61" s="18"/>
      <c r="Q61" s="19">
        <f t="shared" si="201"/>
        <v>0</v>
      </c>
      <c r="S61" s="18"/>
      <c r="T61" s="18"/>
      <c r="U61" s="18"/>
      <c r="V61" s="18"/>
      <c r="W61" s="18"/>
      <c r="X61" s="18"/>
      <c r="Y61" s="18"/>
      <c r="Z61" s="18"/>
      <c r="AA61" s="18"/>
      <c r="AB61" s="18"/>
      <c r="AC61" s="18"/>
      <c r="AD61" s="18"/>
      <c r="AE61" s="19">
        <f t="shared" si="196"/>
        <v>0</v>
      </c>
      <c r="AG61" s="18"/>
      <c r="AH61" s="18"/>
      <c r="AI61" s="18"/>
      <c r="AJ61" s="18"/>
      <c r="AK61" s="18"/>
      <c r="AL61" s="18"/>
      <c r="AM61" s="18"/>
      <c r="AN61" s="18"/>
      <c r="AO61" s="18"/>
      <c r="AP61" s="18"/>
      <c r="AQ61" s="18"/>
      <c r="AR61" s="18"/>
      <c r="AS61" s="19">
        <f t="shared" si="197"/>
        <v>0</v>
      </c>
      <c r="AU61" s="18"/>
      <c r="AV61" s="18"/>
      <c r="AW61" s="18"/>
      <c r="AX61" s="18"/>
      <c r="AY61" s="18"/>
      <c r="AZ61" s="18"/>
      <c r="BA61" s="18"/>
      <c r="BB61" s="18"/>
      <c r="BC61" s="18"/>
      <c r="BD61" s="18"/>
      <c r="BE61" s="18"/>
      <c r="BF61" s="18"/>
      <c r="BG61" s="19">
        <f t="shared" si="198"/>
        <v>0</v>
      </c>
      <c r="BI61" s="18"/>
      <c r="BJ61" s="18"/>
      <c r="BK61" s="18"/>
      <c r="BL61" s="18"/>
      <c r="BM61" s="18"/>
      <c r="BN61" s="18"/>
      <c r="BO61" s="18"/>
      <c r="BP61" s="18"/>
      <c r="BQ61" s="18"/>
      <c r="BR61" s="18"/>
      <c r="BS61" s="18"/>
      <c r="BT61" s="18"/>
      <c r="BU61" s="19">
        <f t="shared" si="199"/>
        <v>0</v>
      </c>
      <c r="BW61" s="18"/>
      <c r="BX61" s="18"/>
      <c r="BY61" s="18"/>
      <c r="BZ61" s="18"/>
      <c r="CA61" s="18"/>
      <c r="CB61" s="18"/>
      <c r="CC61" s="18"/>
      <c r="CD61" s="18"/>
      <c r="CE61" s="18"/>
      <c r="CF61" s="18"/>
      <c r="CG61" s="18"/>
      <c r="CH61" s="18"/>
      <c r="CI61" s="19">
        <f t="shared" si="200"/>
        <v>0</v>
      </c>
    </row>
    <row r="62" spans="3:87" x14ac:dyDescent="0.25">
      <c r="C62" s="17" t="s">
        <v>49</v>
      </c>
      <c r="E62" s="18"/>
      <c r="F62" s="18"/>
      <c r="G62" s="18"/>
      <c r="H62" s="18"/>
      <c r="I62" s="18"/>
      <c r="J62" s="18"/>
      <c r="K62" s="18"/>
      <c r="L62" s="18"/>
      <c r="M62" s="18"/>
      <c r="N62" s="18"/>
      <c r="O62" s="18"/>
      <c r="P62" s="18"/>
      <c r="Q62" s="19">
        <f t="shared" si="201"/>
        <v>0</v>
      </c>
      <c r="S62" s="18"/>
      <c r="T62" s="18"/>
      <c r="U62" s="18"/>
      <c r="V62" s="18"/>
      <c r="W62" s="18"/>
      <c r="X62" s="18"/>
      <c r="Y62" s="18"/>
      <c r="Z62" s="18"/>
      <c r="AA62" s="18"/>
      <c r="AB62" s="18"/>
      <c r="AC62" s="18"/>
      <c r="AD62" s="18"/>
      <c r="AE62" s="19">
        <f t="shared" si="196"/>
        <v>0</v>
      </c>
      <c r="AG62" s="18"/>
      <c r="AH62" s="18"/>
      <c r="AI62" s="18"/>
      <c r="AJ62" s="18"/>
      <c r="AK62" s="18"/>
      <c r="AL62" s="18"/>
      <c r="AM62" s="18"/>
      <c r="AN62" s="18"/>
      <c r="AO62" s="18"/>
      <c r="AP62" s="18"/>
      <c r="AQ62" s="18"/>
      <c r="AR62" s="18"/>
      <c r="AS62" s="19">
        <f t="shared" si="197"/>
        <v>0</v>
      </c>
      <c r="AU62" s="18"/>
      <c r="AV62" s="18"/>
      <c r="AW62" s="18"/>
      <c r="AX62" s="18"/>
      <c r="AY62" s="18"/>
      <c r="AZ62" s="18"/>
      <c r="BA62" s="18"/>
      <c r="BB62" s="18"/>
      <c r="BC62" s="18"/>
      <c r="BD62" s="18"/>
      <c r="BE62" s="18"/>
      <c r="BF62" s="18"/>
      <c r="BG62" s="19">
        <f t="shared" si="198"/>
        <v>0</v>
      </c>
      <c r="BI62" s="18"/>
      <c r="BJ62" s="18"/>
      <c r="BK62" s="18"/>
      <c r="BL62" s="18"/>
      <c r="BM62" s="18"/>
      <c r="BN62" s="18"/>
      <c r="BO62" s="18"/>
      <c r="BP62" s="18"/>
      <c r="BQ62" s="18"/>
      <c r="BR62" s="18"/>
      <c r="BS62" s="18"/>
      <c r="BT62" s="18"/>
      <c r="BU62" s="19">
        <f t="shared" si="199"/>
        <v>0</v>
      </c>
      <c r="BW62" s="18"/>
      <c r="BX62" s="18"/>
      <c r="BY62" s="18"/>
      <c r="BZ62" s="18"/>
      <c r="CA62" s="18"/>
      <c r="CB62" s="18"/>
      <c r="CC62" s="18"/>
      <c r="CD62" s="18"/>
      <c r="CE62" s="18"/>
      <c r="CF62" s="18"/>
      <c r="CG62" s="18"/>
      <c r="CH62" s="18"/>
      <c r="CI62" s="19">
        <f t="shared" si="200"/>
        <v>0</v>
      </c>
    </row>
    <row r="63" spans="3:87" x14ac:dyDescent="0.25">
      <c r="C63" s="17" t="s">
        <v>49</v>
      </c>
      <c r="E63" s="18"/>
      <c r="F63" s="18"/>
      <c r="G63" s="18"/>
      <c r="H63" s="18"/>
      <c r="I63" s="18"/>
      <c r="J63" s="18"/>
      <c r="K63" s="18"/>
      <c r="L63" s="18"/>
      <c r="M63" s="18"/>
      <c r="N63" s="18"/>
      <c r="O63" s="18"/>
      <c r="P63" s="18"/>
      <c r="Q63" s="19">
        <f t="shared" ref="Q63" si="202">SUM(E63:P63)</f>
        <v>0</v>
      </c>
      <c r="S63" s="18"/>
      <c r="T63" s="18"/>
      <c r="U63" s="18"/>
      <c r="V63" s="18"/>
      <c r="W63" s="18"/>
      <c r="X63" s="18"/>
      <c r="Y63" s="18"/>
      <c r="Z63" s="18"/>
      <c r="AA63" s="18"/>
      <c r="AB63" s="18"/>
      <c r="AC63" s="18"/>
      <c r="AD63" s="18"/>
      <c r="AE63" s="19">
        <f t="shared" si="179"/>
        <v>0</v>
      </c>
      <c r="AG63" s="18"/>
      <c r="AH63" s="18"/>
      <c r="AI63" s="18"/>
      <c r="AJ63" s="18"/>
      <c r="AK63" s="18"/>
      <c r="AL63" s="18"/>
      <c r="AM63" s="18"/>
      <c r="AN63" s="18"/>
      <c r="AO63" s="18"/>
      <c r="AP63" s="18"/>
      <c r="AQ63" s="18"/>
      <c r="AR63" s="18"/>
      <c r="AS63" s="19">
        <f t="shared" si="180"/>
        <v>0</v>
      </c>
      <c r="AU63" s="18"/>
      <c r="AV63" s="18"/>
      <c r="AW63" s="18"/>
      <c r="AX63" s="18"/>
      <c r="AY63" s="18"/>
      <c r="AZ63" s="18"/>
      <c r="BA63" s="18"/>
      <c r="BB63" s="18"/>
      <c r="BC63" s="18"/>
      <c r="BD63" s="18"/>
      <c r="BE63" s="18"/>
      <c r="BF63" s="18"/>
      <c r="BG63" s="19">
        <f t="shared" si="181"/>
        <v>0</v>
      </c>
      <c r="BI63" s="18"/>
      <c r="BJ63" s="18"/>
      <c r="BK63" s="18"/>
      <c r="BL63" s="18"/>
      <c r="BM63" s="18"/>
      <c r="BN63" s="18"/>
      <c r="BO63" s="18"/>
      <c r="BP63" s="18"/>
      <c r="BQ63" s="18"/>
      <c r="BR63" s="18"/>
      <c r="BS63" s="18"/>
      <c r="BT63" s="18"/>
      <c r="BU63" s="19">
        <f t="shared" si="182"/>
        <v>0</v>
      </c>
      <c r="BW63" s="18"/>
      <c r="BX63" s="18"/>
      <c r="BY63" s="18"/>
      <c r="BZ63" s="18"/>
      <c r="CA63" s="18"/>
      <c r="CB63" s="18"/>
      <c r="CC63" s="18"/>
      <c r="CD63" s="18"/>
      <c r="CE63" s="18"/>
      <c r="CF63" s="18"/>
      <c r="CG63" s="18"/>
      <c r="CH63" s="18"/>
      <c r="CI63" s="19">
        <f t="shared" si="183"/>
        <v>0</v>
      </c>
    </row>
    <row r="64" spans="3:87" x14ac:dyDescent="0.25">
      <c r="C64" s="17" t="s">
        <v>49</v>
      </c>
      <c r="E64" s="18"/>
      <c r="F64" s="18"/>
      <c r="G64" s="18"/>
      <c r="H64" s="18"/>
      <c r="I64" s="18"/>
      <c r="J64" s="18"/>
      <c r="K64" s="18"/>
      <c r="L64" s="18"/>
      <c r="M64" s="18"/>
      <c r="N64" s="18"/>
      <c r="O64" s="18"/>
      <c r="P64" s="18"/>
      <c r="Q64" s="19">
        <f t="shared" si="178"/>
        <v>0</v>
      </c>
      <c r="S64" s="18"/>
      <c r="T64" s="18"/>
      <c r="U64" s="18"/>
      <c r="V64" s="18"/>
      <c r="W64" s="18"/>
      <c r="X64" s="18"/>
      <c r="Y64" s="18"/>
      <c r="Z64" s="18"/>
      <c r="AA64" s="18"/>
      <c r="AB64" s="18"/>
      <c r="AC64" s="18"/>
      <c r="AD64" s="18"/>
      <c r="AE64" s="19">
        <f t="shared" si="179"/>
        <v>0</v>
      </c>
      <c r="AG64" s="18"/>
      <c r="AH64" s="18"/>
      <c r="AI64" s="18"/>
      <c r="AJ64" s="18"/>
      <c r="AK64" s="18"/>
      <c r="AL64" s="18"/>
      <c r="AM64" s="18"/>
      <c r="AN64" s="18"/>
      <c r="AO64" s="18"/>
      <c r="AP64" s="18"/>
      <c r="AQ64" s="18"/>
      <c r="AR64" s="18"/>
      <c r="AS64" s="19">
        <f t="shared" si="180"/>
        <v>0</v>
      </c>
      <c r="AU64" s="18"/>
      <c r="AV64" s="18"/>
      <c r="AW64" s="18"/>
      <c r="AX64" s="18"/>
      <c r="AY64" s="18"/>
      <c r="AZ64" s="18"/>
      <c r="BA64" s="18"/>
      <c r="BB64" s="18"/>
      <c r="BC64" s="18"/>
      <c r="BD64" s="18"/>
      <c r="BE64" s="18"/>
      <c r="BF64" s="18"/>
      <c r="BG64" s="19">
        <f t="shared" si="181"/>
        <v>0</v>
      </c>
      <c r="BI64" s="18"/>
      <c r="BJ64" s="18"/>
      <c r="BK64" s="18"/>
      <c r="BL64" s="18"/>
      <c r="BM64" s="18"/>
      <c r="BN64" s="18"/>
      <c r="BO64" s="18"/>
      <c r="BP64" s="18"/>
      <c r="BQ64" s="18"/>
      <c r="BR64" s="18"/>
      <c r="BS64" s="18"/>
      <c r="BT64" s="18"/>
      <c r="BU64" s="19">
        <f t="shared" si="182"/>
        <v>0</v>
      </c>
      <c r="BW64" s="18"/>
      <c r="BX64" s="18"/>
      <c r="BY64" s="18"/>
      <c r="BZ64" s="18"/>
      <c r="CA64" s="18"/>
      <c r="CB64" s="18"/>
      <c r="CC64" s="18"/>
      <c r="CD64" s="18"/>
      <c r="CE64" s="18"/>
      <c r="CF64" s="18"/>
      <c r="CG64" s="18"/>
      <c r="CH64" s="18"/>
      <c r="CI64" s="19">
        <f t="shared" si="183"/>
        <v>0</v>
      </c>
    </row>
    <row r="65" spans="3:87" x14ac:dyDescent="0.25">
      <c r="C65" s="17" t="s">
        <v>49</v>
      </c>
      <c r="E65" s="18"/>
      <c r="F65" s="18"/>
      <c r="G65" s="18"/>
      <c r="H65" s="18"/>
      <c r="I65" s="18"/>
      <c r="J65" s="18"/>
      <c r="K65" s="18"/>
      <c r="L65" s="18"/>
      <c r="M65" s="18"/>
      <c r="N65" s="18"/>
      <c r="O65" s="18"/>
      <c r="P65" s="18"/>
      <c r="Q65" s="19">
        <f t="shared" si="178"/>
        <v>0</v>
      </c>
      <c r="S65" s="18"/>
      <c r="T65" s="18"/>
      <c r="U65" s="18"/>
      <c r="V65" s="18"/>
      <c r="W65" s="18"/>
      <c r="X65" s="18"/>
      <c r="Y65" s="18"/>
      <c r="Z65" s="18"/>
      <c r="AA65" s="18"/>
      <c r="AB65" s="18"/>
      <c r="AC65" s="18"/>
      <c r="AD65" s="18"/>
      <c r="AE65" s="19">
        <f t="shared" si="179"/>
        <v>0</v>
      </c>
      <c r="AG65" s="18"/>
      <c r="AH65" s="18"/>
      <c r="AI65" s="18"/>
      <c r="AJ65" s="18"/>
      <c r="AK65" s="18"/>
      <c r="AL65" s="18"/>
      <c r="AM65" s="18"/>
      <c r="AN65" s="18"/>
      <c r="AO65" s="18"/>
      <c r="AP65" s="18"/>
      <c r="AQ65" s="18"/>
      <c r="AR65" s="18"/>
      <c r="AS65" s="19">
        <f t="shared" si="180"/>
        <v>0</v>
      </c>
      <c r="AU65" s="18"/>
      <c r="AV65" s="18"/>
      <c r="AW65" s="18"/>
      <c r="AX65" s="18"/>
      <c r="AY65" s="18"/>
      <c r="AZ65" s="18"/>
      <c r="BA65" s="18"/>
      <c r="BB65" s="18"/>
      <c r="BC65" s="18"/>
      <c r="BD65" s="18"/>
      <c r="BE65" s="18"/>
      <c r="BF65" s="18"/>
      <c r="BG65" s="19">
        <f t="shared" si="181"/>
        <v>0</v>
      </c>
      <c r="BI65" s="18"/>
      <c r="BJ65" s="18"/>
      <c r="BK65" s="18"/>
      <c r="BL65" s="18"/>
      <c r="BM65" s="18"/>
      <c r="BN65" s="18"/>
      <c r="BO65" s="18"/>
      <c r="BP65" s="18"/>
      <c r="BQ65" s="18"/>
      <c r="BR65" s="18"/>
      <c r="BS65" s="18"/>
      <c r="BT65" s="18"/>
      <c r="BU65" s="19">
        <f t="shared" si="182"/>
        <v>0</v>
      </c>
      <c r="BW65" s="18"/>
      <c r="BX65" s="18"/>
      <c r="BY65" s="18"/>
      <c r="BZ65" s="18"/>
      <c r="CA65" s="18"/>
      <c r="CB65" s="18"/>
      <c r="CC65" s="18"/>
      <c r="CD65" s="18"/>
      <c r="CE65" s="18"/>
      <c r="CF65" s="18"/>
      <c r="CG65" s="18"/>
      <c r="CH65" s="18"/>
      <c r="CI65" s="19">
        <f t="shared" si="183"/>
        <v>0</v>
      </c>
    </row>
    <row r="66" spans="3:87" x14ac:dyDescent="0.25">
      <c r="C66" s="17" t="s">
        <v>49</v>
      </c>
      <c r="E66" s="18"/>
      <c r="F66" s="18"/>
      <c r="G66" s="18"/>
      <c r="H66" s="18"/>
      <c r="I66" s="18"/>
      <c r="J66" s="18"/>
      <c r="K66" s="18"/>
      <c r="L66" s="18"/>
      <c r="M66" s="18"/>
      <c r="N66" s="18"/>
      <c r="O66" s="18"/>
      <c r="P66" s="18"/>
      <c r="Q66" s="19">
        <f t="shared" si="178"/>
        <v>0</v>
      </c>
      <c r="S66" s="18"/>
      <c r="T66" s="18"/>
      <c r="U66" s="18"/>
      <c r="V66" s="18"/>
      <c r="W66" s="18"/>
      <c r="X66" s="18"/>
      <c r="Y66" s="18"/>
      <c r="Z66" s="18"/>
      <c r="AA66" s="18"/>
      <c r="AB66" s="18"/>
      <c r="AC66" s="18"/>
      <c r="AD66" s="18"/>
      <c r="AE66" s="19">
        <f t="shared" si="179"/>
        <v>0</v>
      </c>
      <c r="AG66" s="18"/>
      <c r="AH66" s="18"/>
      <c r="AI66" s="18"/>
      <c r="AJ66" s="18"/>
      <c r="AK66" s="18"/>
      <c r="AL66" s="18"/>
      <c r="AM66" s="18"/>
      <c r="AN66" s="18"/>
      <c r="AO66" s="18"/>
      <c r="AP66" s="18"/>
      <c r="AQ66" s="18"/>
      <c r="AR66" s="18"/>
      <c r="AS66" s="19">
        <f t="shared" si="180"/>
        <v>0</v>
      </c>
      <c r="AU66" s="18"/>
      <c r="AV66" s="18"/>
      <c r="AW66" s="18"/>
      <c r="AX66" s="18"/>
      <c r="AY66" s="18"/>
      <c r="AZ66" s="18"/>
      <c r="BA66" s="18"/>
      <c r="BB66" s="18"/>
      <c r="BC66" s="18"/>
      <c r="BD66" s="18"/>
      <c r="BE66" s="18"/>
      <c r="BF66" s="18"/>
      <c r="BG66" s="19">
        <f t="shared" si="181"/>
        <v>0</v>
      </c>
      <c r="BI66" s="18"/>
      <c r="BJ66" s="18"/>
      <c r="BK66" s="18"/>
      <c r="BL66" s="18"/>
      <c r="BM66" s="18"/>
      <c r="BN66" s="18"/>
      <c r="BO66" s="18"/>
      <c r="BP66" s="18"/>
      <c r="BQ66" s="18"/>
      <c r="BR66" s="18"/>
      <c r="BS66" s="18"/>
      <c r="BT66" s="18"/>
      <c r="BU66" s="19">
        <f t="shared" si="182"/>
        <v>0</v>
      </c>
      <c r="BW66" s="18"/>
      <c r="BX66" s="18"/>
      <c r="BY66" s="18"/>
      <c r="BZ66" s="18"/>
      <c r="CA66" s="18"/>
      <c r="CB66" s="18"/>
      <c r="CC66" s="18"/>
      <c r="CD66" s="18"/>
      <c r="CE66" s="18"/>
      <c r="CF66" s="18"/>
      <c r="CG66" s="18"/>
      <c r="CH66" s="18"/>
      <c r="CI66" s="19">
        <f t="shared" si="183"/>
        <v>0</v>
      </c>
    </row>
    <row r="67" spans="3:87" x14ac:dyDescent="0.25">
      <c r="C67" s="17" t="s">
        <v>49</v>
      </c>
      <c r="E67" s="18"/>
      <c r="F67" s="18"/>
      <c r="G67" s="18"/>
      <c r="H67" s="18"/>
      <c r="I67" s="18"/>
      <c r="J67" s="18"/>
      <c r="K67" s="18"/>
      <c r="L67" s="18"/>
      <c r="M67" s="18"/>
      <c r="N67" s="18"/>
      <c r="O67" s="18"/>
      <c r="P67" s="18"/>
      <c r="Q67" s="19">
        <f t="shared" si="178"/>
        <v>0</v>
      </c>
      <c r="S67" s="18"/>
      <c r="T67" s="18"/>
      <c r="U67" s="18"/>
      <c r="V67" s="18"/>
      <c r="W67" s="18"/>
      <c r="X67" s="18"/>
      <c r="Y67" s="18"/>
      <c r="Z67" s="18"/>
      <c r="AA67" s="18"/>
      <c r="AB67" s="18"/>
      <c r="AC67" s="18"/>
      <c r="AD67" s="18"/>
      <c r="AE67" s="19">
        <f t="shared" si="179"/>
        <v>0</v>
      </c>
      <c r="AG67" s="18"/>
      <c r="AH67" s="18"/>
      <c r="AI67" s="18"/>
      <c r="AJ67" s="18"/>
      <c r="AK67" s="18"/>
      <c r="AL67" s="18"/>
      <c r="AM67" s="18"/>
      <c r="AN67" s="18"/>
      <c r="AO67" s="18"/>
      <c r="AP67" s="18"/>
      <c r="AQ67" s="18"/>
      <c r="AR67" s="18"/>
      <c r="AS67" s="19">
        <f t="shared" si="180"/>
        <v>0</v>
      </c>
      <c r="AU67" s="18"/>
      <c r="AV67" s="18"/>
      <c r="AW67" s="18"/>
      <c r="AX67" s="18"/>
      <c r="AY67" s="18"/>
      <c r="AZ67" s="18"/>
      <c r="BA67" s="18"/>
      <c r="BB67" s="18"/>
      <c r="BC67" s="18"/>
      <c r="BD67" s="18"/>
      <c r="BE67" s="18"/>
      <c r="BF67" s="18"/>
      <c r="BG67" s="19">
        <f t="shared" si="181"/>
        <v>0</v>
      </c>
      <c r="BI67" s="18"/>
      <c r="BJ67" s="18"/>
      <c r="BK67" s="18"/>
      <c r="BL67" s="18"/>
      <c r="BM67" s="18"/>
      <c r="BN67" s="18"/>
      <c r="BO67" s="18"/>
      <c r="BP67" s="18"/>
      <c r="BQ67" s="18"/>
      <c r="BR67" s="18"/>
      <c r="BS67" s="18"/>
      <c r="BT67" s="18"/>
      <c r="BU67" s="19">
        <f t="shared" si="182"/>
        <v>0</v>
      </c>
      <c r="BW67" s="18"/>
      <c r="BX67" s="18"/>
      <c r="BY67" s="18"/>
      <c r="BZ67" s="18"/>
      <c r="CA67" s="18"/>
      <c r="CB67" s="18"/>
      <c r="CC67" s="18"/>
      <c r="CD67" s="18"/>
      <c r="CE67" s="18"/>
      <c r="CF67" s="18"/>
      <c r="CG67" s="18"/>
      <c r="CH67" s="18"/>
      <c r="CI67" s="19">
        <f t="shared" si="183"/>
        <v>0</v>
      </c>
    </row>
    <row r="68" spans="3:87" x14ac:dyDescent="0.25">
      <c r="C68" s="15" t="s">
        <v>26</v>
      </c>
      <c r="E68" s="20" cm="1">
        <f t="array" aca="1" ref="E68" ca="1">SUM(INDIRECT(ADDRESS(Expenses_Min_Row,COLUMN())&amp;":"&amp;ADDRESS(Expenses_Max_Row,COLUMN())))</f>
        <v>0</v>
      </c>
      <c r="F68" s="20" cm="1">
        <f t="array" aca="1" ref="F68" ca="1">SUM(INDIRECT(ADDRESS(Expenses_Min_Row,COLUMN())&amp;":"&amp;ADDRESS(Expenses_Max_Row,COLUMN())))</f>
        <v>0</v>
      </c>
      <c r="G68" s="20" cm="1">
        <f t="array" aca="1" ref="G68" ca="1">SUM(INDIRECT(ADDRESS(Expenses_Min_Row,COLUMN())&amp;":"&amp;ADDRESS(Expenses_Max_Row,COLUMN())))</f>
        <v>0</v>
      </c>
      <c r="H68" s="20" cm="1">
        <f t="array" aca="1" ref="H68" ca="1">SUM(INDIRECT(ADDRESS(Expenses_Min_Row,COLUMN())&amp;":"&amp;ADDRESS(Expenses_Max_Row,COLUMN())))</f>
        <v>0</v>
      </c>
      <c r="I68" s="20" cm="1">
        <f t="array" aca="1" ref="I68" ca="1">SUM(INDIRECT(ADDRESS(Expenses_Min_Row,COLUMN())&amp;":"&amp;ADDRESS(Expenses_Max_Row,COLUMN())))</f>
        <v>0</v>
      </c>
      <c r="J68" s="20" cm="1">
        <f t="array" aca="1" ref="J68" ca="1">SUM(INDIRECT(ADDRESS(Expenses_Min_Row,COLUMN())&amp;":"&amp;ADDRESS(Expenses_Max_Row,COLUMN())))</f>
        <v>0</v>
      </c>
      <c r="K68" s="20" cm="1">
        <f t="array" aca="1" ref="K68" ca="1">SUM(INDIRECT(ADDRESS(Expenses_Min_Row,COLUMN())&amp;":"&amp;ADDRESS(Expenses_Max_Row,COLUMN())))</f>
        <v>0</v>
      </c>
      <c r="L68" s="20" cm="1">
        <f t="array" aca="1" ref="L68" ca="1">SUM(INDIRECT(ADDRESS(Expenses_Min_Row,COLUMN())&amp;":"&amp;ADDRESS(Expenses_Max_Row,COLUMN())))</f>
        <v>0</v>
      </c>
      <c r="M68" s="20" cm="1">
        <f t="array" aca="1" ref="M68" ca="1">SUM(INDIRECT(ADDRESS(Expenses_Min_Row,COLUMN())&amp;":"&amp;ADDRESS(Expenses_Max_Row,COLUMN())))</f>
        <v>0</v>
      </c>
      <c r="N68" s="20" cm="1">
        <f t="array" aca="1" ref="N68" ca="1">SUM(INDIRECT(ADDRESS(Expenses_Min_Row,COLUMN())&amp;":"&amp;ADDRESS(Expenses_Max_Row,COLUMN())))</f>
        <v>0</v>
      </c>
      <c r="O68" s="20" cm="1">
        <f t="array" aca="1" ref="O68" ca="1">SUM(INDIRECT(ADDRESS(Expenses_Min_Row,COLUMN())&amp;":"&amp;ADDRESS(Expenses_Max_Row,COLUMN())))</f>
        <v>0</v>
      </c>
      <c r="P68" s="20" cm="1">
        <f t="array" aca="1" ref="P68" ca="1">SUM(INDIRECT(ADDRESS(Expenses_Min_Row,COLUMN())&amp;":"&amp;ADDRESS(Expenses_Max_Row,COLUMN())))</f>
        <v>0</v>
      </c>
      <c r="Q68" s="20" cm="1">
        <f t="array" aca="1" ref="Q68" ca="1">SUM(INDIRECT(ADDRESS(Expenses_Min_Row,COLUMN())&amp;":"&amp;ADDRESS(Expenses_Max_Row,COLUMN())))</f>
        <v>0</v>
      </c>
      <c r="S68" s="20" cm="1">
        <f t="array" aca="1" ref="S68" ca="1">SUM(INDIRECT(ADDRESS(Expenses_Min_Row,COLUMN())&amp;":"&amp;ADDRESS(Expenses_Max_Row,COLUMN())))</f>
        <v>0</v>
      </c>
      <c r="T68" s="20" cm="1">
        <f t="array" aca="1" ref="T68" ca="1">SUM(INDIRECT(ADDRESS(Expenses_Min_Row,COLUMN())&amp;":"&amp;ADDRESS(Expenses_Max_Row,COLUMN())))</f>
        <v>0</v>
      </c>
      <c r="U68" s="20" cm="1">
        <f t="array" aca="1" ref="U68" ca="1">SUM(INDIRECT(ADDRESS(Expenses_Min_Row,COLUMN())&amp;":"&amp;ADDRESS(Expenses_Max_Row,COLUMN())))</f>
        <v>0</v>
      </c>
      <c r="V68" s="20" cm="1">
        <f t="array" aca="1" ref="V68" ca="1">SUM(INDIRECT(ADDRESS(Expenses_Min_Row,COLUMN())&amp;":"&amp;ADDRESS(Expenses_Max_Row,COLUMN())))</f>
        <v>0</v>
      </c>
      <c r="W68" s="20" cm="1">
        <f t="array" aca="1" ref="W68" ca="1">SUM(INDIRECT(ADDRESS(Expenses_Min_Row,COLUMN())&amp;":"&amp;ADDRESS(Expenses_Max_Row,COLUMN())))</f>
        <v>0</v>
      </c>
      <c r="X68" s="20" cm="1">
        <f t="array" aca="1" ref="X68" ca="1">SUM(INDIRECT(ADDRESS(Expenses_Min_Row,COLUMN())&amp;":"&amp;ADDRESS(Expenses_Max_Row,COLUMN())))</f>
        <v>0</v>
      </c>
      <c r="Y68" s="20" cm="1">
        <f t="array" aca="1" ref="Y68" ca="1">SUM(INDIRECT(ADDRESS(Expenses_Min_Row,COLUMN())&amp;":"&amp;ADDRESS(Expenses_Max_Row,COLUMN())))</f>
        <v>0</v>
      </c>
      <c r="Z68" s="20" cm="1">
        <f t="array" aca="1" ref="Z68" ca="1">SUM(INDIRECT(ADDRESS(Expenses_Min_Row,COLUMN())&amp;":"&amp;ADDRESS(Expenses_Max_Row,COLUMN())))</f>
        <v>0</v>
      </c>
      <c r="AA68" s="20" cm="1">
        <f t="array" aca="1" ref="AA68" ca="1">SUM(INDIRECT(ADDRESS(Expenses_Min_Row,COLUMN())&amp;":"&amp;ADDRESS(Expenses_Max_Row,COLUMN())))</f>
        <v>0</v>
      </c>
      <c r="AB68" s="20" cm="1">
        <f t="array" aca="1" ref="AB68" ca="1">SUM(INDIRECT(ADDRESS(Expenses_Min_Row,COLUMN())&amp;":"&amp;ADDRESS(Expenses_Max_Row,COLUMN())))</f>
        <v>0</v>
      </c>
      <c r="AC68" s="20" cm="1">
        <f t="array" aca="1" ref="AC68" ca="1">SUM(INDIRECT(ADDRESS(Expenses_Min_Row,COLUMN())&amp;":"&amp;ADDRESS(Expenses_Max_Row,COLUMN())))</f>
        <v>0</v>
      </c>
      <c r="AD68" s="20" cm="1">
        <f t="array" aca="1" ref="AD68" ca="1">SUM(INDIRECT(ADDRESS(Expenses_Min_Row,COLUMN())&amp;":"&amp;ADDRESS(Expenses_Max_Row,COLUMN())))</f>
        <v>0</v>
      </c>
      <c r="AE68" s="20" cm="1">
        <f t="array" aca="1" ref="AE68" ca="1">SUM(INDIRECT(ADDRESS(Expenses_Min_Row,COLUMN())&amp;":"&amp;ADDRESS(Expenses_Max_Row,COLUMN())))</f>
        <v>0</v>
      </c>
      <c r="AG68" s="20" cm="1">
        <f t="array" aca="1" ref="AG68" ca="1">SUM(INDIRECT(ADDRESS(Expenses_Min_Row,COLUMN())&amp;":"&amp;ADDRESS(Expenses_Max_Row,COLUMN())))</f>
        <v>0</v>
      </c>
      <c r="AH68" s="20" cm="1">
        <f t="array" aca="1" ref="AH68" ca="1">SUM(INDIRECT(ADDRESS(Expenses_Min_Row,COLUMN())&amp;":"&amp;ADDRESS(Expenses_Max_Row,COLUMN())))</f>
        <v>0</v>
      </c>
      <c r="AI68" s="20" cm="1">
        <f t="array" aca="1" ref="AI68" ca="1">SUM(INDIRECT(ADDRESS(Expenses_Min_Row,COLUMN())&amp;":"&amp;ADDRESS(Expenses_Max_Row,COLUMN())))</f>
        <v>0</v>
      </c>
      <c r="AJ68" s="20" cm="1">
        <f t="array" aca="1" ref="AJ68" ca="1">SUM(INDIRECT(ADDRESS(Expenses_Min_Row,COLUMN())&amp;":"&amp;ADDRESS(Expenses_Max_Row,COLUMN())))</f>
        <v>0</v>
      </c>
      <c r="AK68" s="20" cm="1">
        <f t="array" aca="1" ref="AK68" ca="1">SUM(INDIRECT(ADDRESS(Expenses_Min_Row,COLUMN())&amp;":"&amp;ADDRESS(Expenses_Max_Row,COLUMN())))</f>
        <v>0</v>
      </c>
      <c r="AL68" s="20" cm="1">
        <f t="array" aca="1" ref="AL68" ca="1">SUM(INDIRECT(ADDRESS(Expenses_Min_Row,COLUMN())&amp;":"&amp;ADDRESS(Expenses_Max_Row,COLUMN())))</f>
        <v>0</v>
      </c>
      <c r="AM68" s="20" cm="1">
        <f t="array" aca="1" ref="AM68" ca="1">SUM(INDIRECT(ADDRESS(Expenses_Min_Row,COLUMN())&amp;":"&amp;ADDRESS(Expenses_Max_Row,COLUMN())))</f>
        <v>0</v>
      </c>
      <c r="AN68" s="20" cm="1">
        <f t="array" aca="1" ref="AN68" ca="1">SUM(INDIRECT(ADDRESS(Expenses_Min_Row,COLUMN())&amp;":"&amp;ADDRESS(Expenses_Max_Row,COLUMN())))</f>
        <v>0</v>
      </c>
      <c r="AO68" s="20" cm="1">
        <f t="array" aca="1" ref="AO68" ca="1">SUM(INDIRECT(ADDRESS(Expenses_Min_Row,COLUMN())&amp;":"&amp;ADDRESS(Expenses_Max_Row,COLUMN())))</f>
        <v>0</v>
      </c>
      <c r="AP68" s="20" cm="1">
        <f t="array" aca="1" ref="AP68" ca="1">SUM(INDIRECT(ADDRESS(Expenses_Min_Row,COLUMN())&amp;":"&amp;ADDRESS(Expenses_Max_Row,COLUMN())))</f>
        <v>0</v>
      </c>
      <c r="AQ68" s="20" cm="1">
        <f t="array" aca="1" ref="AQ68" ca="1">SUM(INDIRECT(ADDRESS(Expenses_Min_Row,COLUMN())&amp;":"&amp;ADDRESS(Expenses_Max_Row,COLUMN())))</f>
        <v>0</v>
      </c>
      <c r="AR68" s="20" cm="1">
        <f t="array" aca="1" ref="AR68" ca="1">SUM(INDIRECT(ADDRESS(Expenses_Min_Row,COLUMN())&amp;":"&amp;ADDRESS(Expenses_Max_Row,COLUMN())))</f>
        <v>0</v>
      </c>
      <c r="AS68" s="20" cm="1">
        <f t="array" aca="1" ref="AS68" ca="1">SUM(INDIRECT(ADDRESS(Expenses_Min_Row,COLUMN())&amp;":"&amp;ADDRESS(Expenses_Max_Row,COLUMN())))</f>
        <v>0</v>
      </c>
      <c r="AU68" s="20" cm="1">
        <f t="array" aca="1" ref="AU68" ca="1">SUM(INDIRECT(ADDRESS(Expenses_Min_Row,COLUMN())&amp;":"&amp;ADDRESS(Expenses_Max_Row,COLUMN())))</f>
        <v>0</v>
      </c>
      <c r="AV68" s="20" cm="1">
        <f t="array" aca="1" ref="AV68" ca="1">SUM(INDIRECT(ADDRESS(Expenses_Min_Row,COLUMN())&amp;":"&amp;ADDRESS(Expenses_Max_Row,COLUMN())))</f>
        <v>0</v>
      </c>
      <c r="AW68" s="20" cm="1">
        <f t="array" aca="1" ref="AW68" ca="1">SUM(INDIRECT(ADDRESS(Expenses_Min_Row,COLUMN())&amp;":"&amp;ADDRESS(Expenses_Max_Row,COLUMN())))</f>
        <v>0</v>
      </c>
      <c r="AX68" s="20" cm="1">
        <f t="array" aca="1" ref="AX68" ca="1">SUM(INDIRECT(ADDRESS(Expenses_Min_Row,COLUMN())&amp;":"&amp;ADDRESS(Expenses_Max_Row,COLUMN())))</f>
        <v>0</v>
      </c>
      <c r="AY68" s="20" cm="1">
        <f t="array" aca="1" ref="AY68" ca="1">SUM(INDIRECT(ADDRESS(Expenses_Min_Row,COLUMN())&amp;":"&amp;ADDRESS(Expenses_Max_Row,COLUMN())))</f>
        <v>0</v>
      </c>
      <c r="AZ68" s="20" cm="1">
        <f t="array" aca="1" ref="AZ68" ca="1">SUM(INDIRECT(ADDRESS(Expenses_Min_Row,COLUMN())&amp;":"&amp;ADDRESS(Expenses_Max_Row,COLUMN())))</f>
        <v>0</v>
      </c>
      <c r="BA68" s="20" cm="1">
        <f t="array" aca="1" ref="BA68" ca="1">SUM(INDIRECT(ADDRESS(Expenses_Min_Row,COLUMN())&amp;":"&amp;ADDRESS(Expenses_Max_Row,COLUMN())))</f>
        <v>0</v>
      </c>
      <c r="BB68" s="20" cm="1">
        <f t="array" aca="1" ref="BB68" ca="1">SUM(INDIRECT(ADDRESS(Expenses_Min_Row,COLUMN())&amp;":"&amp;ADDRESS(Expenses_Max_Row,COLUMN())))</f>
        <v>0</v>
      </c>
      <c r="BC68" s="20" cm="1">
        <f t="array" aca="1" ref="BC68" ca="1">SUM(INDIRECT(ADDRESS(Expenses_Min_Row,COLUMN())&amp;":"&amp;ADDRESS(Expenses_Max_Row,COLUMN())))</f>
        <v>0</v>
      </c>
      <c r="BD68" s="20" cm="1">
        <f t="array" aca="1" ref="BD68" ca="1">SUM(INDIRECT(ADDRESS(Expenses_Min_Row,COLUMN())&amp;":"&amp;ADDRESS(Expenses_Max_Row,COLUMN())))</f>
        <v>0</v>
      </c>
      <c r="BE68" s="20" cm="1">
        <f t="array" aca="1" ref="BE68" ca="1">SUM(INDIRECT(ADDRESS(Expenses_Min_Row,COLUMN())&amp;":"&amp;ADDRESS(Expenses_Max_Row,COLUMN())))</f>
        <v>0</v>
      </c>
      <c r="BF68" s="20" cm="1">
        <f t="array" aca="1" ref="BF68" ca="1">SUM(INDIRECT(ADDRESS(Expenses_Min_Row,COLUMN())&amp;":"&amp;ADDRESS(Expenses_Max_Row,COLUMN())))</f>
        <v>0</v>
      </c>
      <c r="BG68" s="20" cm="1">
        <f t="array" aca="1" ref="BG68" ca="1">SUM(INDIRECT(ADDRESS(Expenses_Min_Row,COLUMN())&amp;":"&amp;ADDRESS(Expenses_Max_Row,COLUMN())))</f>
        <v>0</v>
      </c>
      <c r="BI68" s="20" cm="1">
        <f t="array" aca="1" ref="BI68" ca="1">SUM(INDIRECT(ADDRESS(Expenses_Min_Row,COLUMN())&amp;":"&amp;ADDRESS(Expenses_Max_Row,COLUMN())))</f>
        <v>0</v>
      </c>
      <c r="BJ68" s="20" cm="1">
        <f t="array" aca="1" ref="BJ68" ca="1">SUM(INDIRECT(ADDRESS(Expenses_Min_Row,COLUMN())&amp;":"&amp;ADDRESS(Expenses_Max_Row,COLUMN())))</f>
        <v>0</v>
      </c>
      <c r="BK68" s="20" cm="1">
        <f t="array" aca="1" ref="BK68" ca="1">SUM(INDIRECT(ADDRESS(Expenses_Min_Row,COLUMN())&amp;":"&amp;ADDRESS(Expenses_Max_Row,COLUMN())))</f>
        <v>0</v>
      </c>
      <c r="BL68" s="20" cm="1">
        <f t="array" aca="1" ref="BL68" ca="1">SUM(INDIRECT(ADDRESS(Expenses_Min_Row,COLUMN())&amp;":"&amp;ADDRESS(Expenses_Max_Row,COLUMN())))</f>
        <v>0</v>
      </c>
      <c r="BM68" s="20" cm="1">
        <f t="array" aca="1" ref="BM68" ca="1">SUM(INDIRECT(ADDRESS(Expenses_Min_Row,COLUMN())&amp;":"&amp;ADDRESS(Expenses_Max_Row,COLUMN())))</f>
        <v>0</v>
      </c>
      <c r="BN68" s="20" cm="1">
        <f t="array" aca="1" ref="BN68" ca="1">SUM(INDIRECT(ADDRESS(Expenses_Min_Row,COLUMN())&amp;":"&amp;ADDRESS(Expenses_Max_Row,COLUMN())))</f>
        <v>0</v>
      </c>
      <c r="BO68" s="20" cm="1">
        <f t="array" aca="1" ref="BO68" ca="1">SUM(INDIRECT(ADDRESS(Expenses_Min_Row,COLUMN())&amp;":"&amp;ADDRESS(Expenses_Max_Row,COLUMN())))</f>
        <v>0</v>
      </c>
      <c r="BP68" s="20" cm="1">
        <f t="array" aca="1" ref="BP68" ca="1">SUM(INDIRECT(ADDRESS(Expenses_Min_Row,COLUMN())&amp;":"&amp;ADDRESS(Expenses_Max_Row,COLUMN())))</f>
        <v>0</v>
      </c>
      <c r="BQ68" s="20" cm="1">
        <f t="array" aca="1" ref="BQ68" ca="1">SUM(INDIRECT(ADDRESS(Expenses_Min_Row,COLUMN())&amp;":"&amp;ADDRESS(Expenses_Max_Row,COLUMN())))</f>
        <v>0</v>
      </c>
      <c r="BR68" s="20" cm="1">
        <f t="array" aca="1" ref="BR68" ca="1">SUM(INDIRECT(ADDRESS(Expenses_Min_Row,COLUMN())&amp;":"&amp;ADDRESS(Expenses_Max_Row,COLUMN())))</f>
        <v>0</v>
      </c>
      <c r="BS68" s="20" cm="1">
        <f t="array" aca="1" ref="BS68" ca="1">SUM(INDIRECT(ADDRESS(Expenses_Min_Row,COLUMN())&amp;":"&amp;ADDRESS(Expenses_Max_Row,COLUMN())))</f>
        <v>0</v>
      </c>
      <c r="BT68" s="20" cm="1">
        <f t="array" aca="1" ref="BT68" ca="1">SUM(INDIRECT(ADDRESS(Expenses_Min_Row,COLUMN())&amp;":"&amp;ADDRESS(Expenses_Max_Row,COLUMN())))</f>
        <v>0</v>
      </c>
      <c r="BU68" s="20" cm="1">
        <f t="array" aca="1" ref="BU68" ca="1">SUM(INDIRECT(ADDRESS(Expenses_Min_Row,COLUMN())&amp;":"&amp;ADDRESS(Expenses_Max_Row,COLUMN())))</f>
        <v>0</v>
      </c>
      <c r="BW68" s="20" cm="1">
        <f t="array" aca="1" ref="BW68" ca="1">SUM(INDIRECT(ADDRESS(Expenses_Min_Row,COLUMN())&amp;":"&amp;ADDRESS(Expenses_Max_Row,COLUMN())))</f>
        <v>0</v>
      </c>
      <c r="BX68" s="20" cm="1">
        <f t="array" aca="1" ref="BX68" ca="1">SUM(INDIRECT(ADDRESS(Expenses_Min_Row,COLUMN())&amp;":"&amp;ADDRESS(Expenses_Max_Row,COLUMN())))</f>
        <v>0</v>
      </c>
      <c r="BY68" s="20" cm="1">
        <f t="array" aca="1" ref="BY68" ca="1">SUM(INDIRECT(ADDRESS(Expenses_Min_Row,COLUMN())&amp;":"&amp;ADDRESS(Expenses_Max_Row,COLUMN())))</f>
        <v>0</v>
      </c>
      <c r="BZ68" s="20" cm="1">
        <f t="array" aca="1" ref="BZ68" ca="1">SUM(INDIRECT(ADDRESS(Expenses_Min_Row,COLUMN())&amp;":"&amp;ADDRESS(Expenses_Max_Row,COLUMN())))</f>
        <v>0</v>
      </c>
      <c r="CA68" s="20" cm="1">
        <f t="array" aca="1" ref="CA68" ca="1">SUM(INDIRECT(ADDRESS(Expenses_Min_Row,COLUMN())&amp;":"&amp;ADDRESS(Expenses_Max_Row,COLUMN())))</f>
        <v>0</v>
      </c>
      <c r="CB68" s="20" cm="1">
        <f t="array" aca="1" ref="CB68" ca="1">SUM(INDIRECT(ADDRESS(Expenses_Min_Row,COLUMN())&amp;":"&amp;ADDRESS(Expenses_Max_Row,COLUMN())))</f>
        <v>0</v>
      </c>
      <c r="CC68" s="20" cm="1">
        <f t="array" aca="1" ref="CC68" ca="1">SUM(INDIRECT(ADDRESS(Expenses_Min_Row,COLUMN())&amp;":"&amp;ADDRESS(Expenses_Max_Row,COLUMN())))</f>
        <v>0</v>
      </c>
      <c r="CD68" s="20" cm="1">
        <f t="array" aca="1" ref="CD68" ca="1">SUM(INDIRECT(ADDRESS(Expenses_Min_Row,COLUMN())&amp;":"&amp;ADDRESS(Expenses_Max_Row,COLUMN())))</f>
        <v>0</v>
      </c>
      <c r="CE68" s="20" cm="1">
        <f t="array" aca="1" ref="CE68" ca="1">SUM(INDIRECT(ADDRESS(Expenses_Min_Row,COLUMN())&amp;":"&amp;ADDRESS(Expenses_Max_Row,COLUMN())))</f>
        <v>0</v>
      </c>
      <c r="CF68" s="20" cm="1">
        <f t="array" aca="1" ref="CF68" ca="1">SUM(INDIRECT(ADDRESS(Expenses_Min_Row,COLUMN())&amp;":"&amp;ADDRESS(Expenses_Max_Row,COLUMN())))</f>
        <v>0</v>
      </c>
      <c r="CG68" s="20" cm="1">
        <f t="array" aca="1" ref="CG68" ca="1">SUM(INDIRECT(ADDRESS(Expenses_Min_Row,COLUMN())&amp;":"&amp;ADDRESS(Expenses_Max_Row,COLUMN())))</f>
        <v>0</v>
      </c>
      <c r="CH68" s="20" cm="1">
        <f t="array" aca="1" ref="CH68" ca="1">SUM(INDIRECT(ADDRESS(Expenses_Min_Row,COLUMN())&amp;":"&amp;ADDRESS(Expenses_Max_Row,COLUMN())))</f>
        <v>0</v>
      </c>
      <c r="CI68" s="20" cm="1">
        <f t="array" aca="1" ref="CI68" ca="1">SUM(INDIRECT(ADDRESS(Expenses_Min_Row,COLUMN())&amp;":"&amp;ADDRESS(Expenses_Max_Row,COLUMN())))</f>
        <v>0</v>
      </c>
    </row>
    <row r="70" spans="3:87" x14ac:dyDescent="0.25">
      <c r="C70" s="16" t="s">
        <v>50</v>
      </c>
      <c r="D70" s="10"/>
      <c r="E70" s="27">
        <f>DATE(E$5,1,1)</f>
        <v>45658</v>
      </c>
      <c r="F70" s="27">
        <f>DATE(E$5,2,1)</f>
        <v>45689</v>
      </c>
      <c r="G70" s="27">
        <f>DATE(E$5,3,1)</f>
        <v>45717</v>
      </c>
      <c r="H70" s="27">
        <f>DATE(E$5,4,1)</f>
        <v>45748</v>
      </c>
      <c r="I70" s="27">
        <f>DATE(E$5,5,1)</f>
        <v>45778</v>
      </c>
      <c r="J70" s="27">
        <f>DATE(E$5,6,1)</f>
        <v>45809</v>
      </c>
      <c r="K70" s="27">
        <f>DATE(E$5,7,1)</f>
        <v>45839</v>
      </c>
      <c r="L70" s="27">
        <f>DATE(E$5,8,1)</f>
        <v>45870</v>
      </c>
      <c r="M70" s="27">
        <f>DATE(E$5,9,1)</f>
        <v>45901</v>
      </c>
      <c r="N70" s="27">
        <f>DATE(E$5,10,1)</f>
        <v>45931</v>
      </c>
      <c r="O70" s="27">
        <f>DATE(E$5,11,1)</f>
        <v>45962</v>
      </c>
      <c r="P70" s="27">
        <f>DATE(E$5,12,1)</f>
        <v>45992</v>
      </c>
      <c r="Q70" s="28">
        <f>E$5</f>
        <v>2025</v>
      </c>
      <c r="S70" s="27">
        <f>DATE(S$5,1,1)</f>
        <v>46023</v>
      </c>
      <c r="T70" s="27">
        <f>DATE(S$5,2,1)</f>
        <v>46054</v>
      </c>
      <c r="U70" s="27">
        <f>DATE(S$5,3,1)</f>
        <v>46082</v>
      </c>
      <c r="V70" s="27">
        <f>DATE(S$5,4,1)</f>
        <v>46113</v>
      </c>
      <c r="W70" s="27">
        <f>DATE(S$5,5,1)</f>
        <v>46143</v>
      </c>
      <c r="X70" s="27">
        <f>DATE(S$5,6,1)</f>
        <v>46174</v>
      </c>
      <c r="Y70" s="27">
        <f>DATE(S$5,7,1)</f>
        <v>46204</v>
      </c>
      <c r="Z70" s="27">
        <f>DATE(S$5,8,1)</f>
        <v>46235</v>
      </c>
      <c r="AA70" s="27">
        <f>DATE(S$5,9,1)</f>
        <v>46266</v>
      </c>
      <c r="AB70" s="27">
        <f>DATE(S$5,10,1)</f>
        <v>46296</v>
      </c>
      <c r="AC70" s="27">
        <f>DATE(S$5,11,1)</f>
        <v>46327</v>
      </c>
      <c r="AD70" s="27">
        <f>DATE(S$5,12,1)</f>
        <v>46357</v>
      </c>
      <c r="AE70" s="28">
        <f>S$5</f>
        <v>2026</v>
      </c>
      <c r="AG70" s="27">
        <f t="shared" ref="AG70" si="203">DATE(AG$5,1,1)</f>
        <v>46388</v>
      </c>
      <c r="AH70" s="27">
        <f t="shared" ref="AH70" si="204">DATE(AG$5,2,1)</f>
        <v>46419</v>
      </c>
      <c r="AI70" s="27">
        <f t="shared" ref="AI70" si="205">DATE(AG$5,3,1)</f>
        <v>46447</v>
      </c>
      <c r="AJ70" s="27">
        <f t="shared" ref="AJ70" si="206">DATE(AG$5,4,1)</f>
        <v>46478</v>
      </c>
      <c r="AK70" s="27">
        <f t="shared" ref="AK70" si="207">DATE(AG$5,5,1)</f>
        <v>46508</v>
      </c>
      <c r="AL70" s="27">
        <f t="shared" ref="AL70" si="208">DATE(AG$5,6,1)</f>
        <v>46539</v>
      </c>
      <c r="AM70" s="27">
        <f t="shared" ref="AM70" si="209">DATE(AG$5,7,1)</f>
        <v>46569</v>
      </c>
      <c r="AN70" s="27">
        <f t="shared" ref="AN70" si="210">DATE(AG$5,8,1)</f>
        <v>46600</v>
      </c>
      <c r="AO70" s="27">
        <f t="shared" ref="AO70" si="211">DATE(AG$5,9,1)</f>
        <v>46631</v>
      </c>
      <c r="AP70" s="27">
        <f t="shared" ref="AP70" si="212">DATE(AG$5,10,1)</f>
        <v>46661</v>
      </c>
      <c r="AQ70" s="27">
        <f t="shared" ref="AQ70" si="213">DATE(AG$5,11,1)</f>
        <v>46692</v>
      </c>
      <c r="AR70" s="27">
        <f t="shared" ref="AR70" si="214">DATE(AG$5,12,1)</f>
        <v>46722</v>
      </c>
      <c r="AS70" s="28">
        <f t="shared" ref="AS70" si="215">AG$5</f>
        <v>2027</v>
      </c>
      <c r="AU70" s="27">
        <f t="shared" ref="AU70:BW70" si="216">DATE(AU$5,1,1)</f>
        <v>46753</v>
      </c>
      <c r="AV70" s="27">
        <f t="shared" ref="AV70" si="217">DATE(AU$5,2,1)</f>
        <v>46784</v>
      </c>
      <c r="AW70" s="27">
        <f t="shared" ref="AW70" si="218">DATE(AU$5,3,1)</f>
        <v>46813</v>
      </c>
      <c r="AX70" s="27">
        <f t="shared" ref="AX70" si="219">DATE(AU$5,4,1)</f>
        <v>46844</v>
      </c>
      <c r="AY70" s="27">
        <f t="shared" ref="AY70" si="220">DATE(AU$5,5,1)</f>
        <v>46874</v>
      </c>
      <c r="AZ70" s="27">
        <f t="shared" ref="AZ70" si="221">DATE(AU$5,6,1)</f>
        <v>46905</v>
      </c>
      <c r="BA70" s="27">
        <f t="shared" ref="BA70" si="222">DATE(AU$5,7,1)</f>
        <v>46935</v>
      </c>
      <c r="BB70" s="27">
        <f t="shared" ref="BB70" si="223">DATE(AU$5,8,1)</f>
        <v>46966</v>
      </c>
      <c r="BC70" s="27">
        <f t="shared" ref="BC70" si="224">DATE(AU$5,9,1)</f>
        <v>46997</v>
      </c>
      <c r="BD70" s="27">
        <f t="shared" ref="BD70" si="225">DATE(AU$5,10,1)</f>
        <v>47027</v>
      </c>
      <c r="BE70" s="27">
        <f t="shared" ref="BE70" si="226">DATE(AU$5,11,1)</f>
        <v>47058</v>
      </c>
      <c r="BF70" s="27">
        <f t="shared" ref="BF70" si="227">DATE(AU$5,12,1)</f>
        <v>47088</v>
      </c>
      <c r="BG70" s="28">
        <f t="shared" ref="BG70" si="228">AU$5</f>
        <v>2028</v>
      </c>
      <c r="BI70" s="27">
        <f t="shared" si="216"/>
        <v>47119</v>
      </c>
      <c r="BJ70" s="27">
        <f t="shared" ref="BJ70" si="229">DATE(BI$5,2,1)</f>
        <v>47150</v>
      </c>
      <c r="BK70" s="27">
        <f t="shared" ref="BK70" si="230">DATE(BI$5,3,1)</f>
        <v>47178</v>
      </c>
      <c r="BL70" s="27">
        <f t="shared" ref="BL70" si="231">DATE(BI$5,4,1)</f>
        <v>47209</v>
      </c>
      <c r="BM70" s="27">
        <f t="shared" ref="BM70" si="232">DATE(BI$5,5,1)</f>
        <v>47239</v>
      </c>
      <c r="BN70" s="27">
        <f t="shared" ref="BN70" si="233">DATE(BI$5,6,1)</f>
        <v>47270</v>
      </c>
      <c r="BO70" s="27">
        <f t="shared" ref="BO70" si="234">DATE(BI$5,7,1)</f>
        <v>47300</v>
      </c>
      <c r="BP70" s="27">
        <f t="shared" ref="BP70" si="235">DATE(BI$5,8,1)</f>
        <v>47331</v>
      </c>
      <c r="BQ70" s="27">
        <f t="shared" ref="BQ70" si="236">DATE(BI$5,9,1)</f>
        <v>47362</v>
      </c>
      <c r="BR70" s="27">
        <f t="shared" ref="BR70" si="237">DATE(BI$5,10,1)</f>
        <v>47392</v>
      </c>
      <c r="BS70" s="27">
        <f t="shared" ref="BS70" si="238">DATE(BI$5,11,1)</f>
        <v>47423</v>
      </c>
      <c r="BT70" s="27">
        <f t="shared" ref="BT70" si="239">DATE(BI$5,12,1)</f>
        <v>47453</v>
      </c>
      <c r="BU70" s="28">
        <f t="shared" ref="BU70" si="240">BI$5</f>
        <v>2029</v>
      </c>
      <c r="BW70" s="27">
        <f t="shared" si="216"/>
        <v>47484</v>
      </c>
      <c r="BX70" s="27">
        <f t="shared" ref="BX70" si="241">DATE(BW$5,2,1)</f>
        <v>47515</v>
      </c>
      <c r="BY70" s="27">
        <f t="shared" ref="BY70" si="242">DATE(BW$5,3,1)</f>
        <v>47543</v>
      </c>
      <c r="BZ70" s="27">
        <f t="shared" ref="BZ70" si="243">DATE(BW$5,4,1)</f>
        <v>47574</v>
      </c>
      <c r="CA70" s="27">
        <f t="shared" ref="CA70" si="244">DATE(BW$5,5,1)</f>
        <v>47604</v>
      </c>
      <c r="CB70" s="27">
        <f t="shared" ref="CB70" si="245">DATE(BW$5,6,1)</f>
        <v>47635</v>
      </c>
      <c r="CC70" s="27">
        <f t="shared" ref="CC70" si="246">DATE(BW$5,7,1)</f>
        <v>47665</v>
      </c>
      <c r="CD70" s="27">
        <f t="shared" ref="CD70" si="247">DATE(BW$5,8,1)</f>
        <v>47696</v>
      </c>
      <c r="CE70" s="27">
        <f t="shared" ref="CE70" si="248">DATE(BW$5,9,1)</f>
        <v>47727</v>
      </c>
      <c r="CF70" s="27">
        <f t="shared" ref="CF70" si="249">DATE(BW$5,10,1)</f>
        <v>47757</v>
      </c>
      <c r="CG70" s="27">
        <f t="shared" ref="CG70" si="250">DATE(BW$5,11,1)</f>
        <v>47788</v>
      </c>
      <c r="CH70" s="27">
        <f t="shared" ref="CH70" si="251">DATE(BW$5,12,1)</f>
        <v>47818</v>
      </c>
      <c r="CI70" s="28">
        <f t="shared" ref="CI70" si="252">BW$5</f>
        <v>2030</v>
      </c>
    </row>
    <row r="71" spans="3:87" x14ac:dyDescent="0.25">
      <c r="C71" s="17" t="s">
        <v>50</v>
      </c>
      <c r="D71" s="10"/>
      <c r="E71" s="18"/>
      <c r="F71" s="18"/>
      <c r="G71" s="18"/>
      <c r="H71" s="18"/>
      <c r="I71" s="18"/>
      <c r="J71" s="18"/>
      <c r="K71" s="18"/>
      <c r="L71" s="18"/>
      <c r="M71" s="18"/>
      <c r="N71" s="18"/>
      <c r="O71" s="18"/>
      <c r="P71" s="18"/>
      <c r="Q71" s="19">
        <f>SUM(E71:P71)</f>
        <v>0</v>
      </c>
      <c r="S71" s="18"/>
      <c r="T71" s="18"/>
      <c r="U71" s="18"/>
      <c r="V71" s="18"/>
      <c r="W71" s="18"/>
      <c r="X71" s="18"/>
      <c r="Y71" s="18"/>
      <c r="Z71" s="18"/>
      <c r="AA71" s="18"/>
      <c r="AB71" s="18"/>
      <c r="AC71" s="18"/>
      <c r="AD71" s="18"/>
      <c r="AE71" s="19">
        <f>SUM(S71:AD71)</f>
        <v>0</v>
      </c>
      <c r="AG71" s="18"/>
      <c r="AH71" s="18"/>
      <c r="AI71" s="18"/>
      <c r="AJ71" s="18"/>
      <c r="AK71" s="18"/>
      <c r="AL71" s="18"/>
      <c r="AM71" s="18"/>
      <c r="AN71" s="18"/>
      <c r="AO71" s="18"/>
      <c r="AP71" s="18"/>
      <c r="AQ71" s="18"/>
      <c r="AR71" s="18"/>
      <c r="AS71" s="19">
        <f t="shared" ref="AS71" si="253">SUM(AG71:AR71)</f>
        <v>0</v>
      </c>
      <c r="AU71" s="18"/>
      <c r="AV71" s="18"/>
      <c r="AW71" s="18"/>
      <c r="AX71" s="18"/>
      <c r="AY71" s="18"/>
      <c r="AZ71" s="18"/>
      <c r="BA71" s="18"/>
      <c r="BB71" s="18"/>
      <c r="BC71" s="18"/>
      <c r="BD71" s="18"/>
      <c r="BE71" s="18"/>
      <c r="BF71" s="18"/>
      <c r="BG71" s="19">
        <f t="shared" ref="BG71" si="254">SUM(AU71:BF71)</f>
        <v>0</v>
      </c>
      <c r="BI71" s="18"/>
      <c r="BJ71" s="18"/>
      <c r="BK71" s="18"/>
      <c r="BL71" s="18"/>
      <c r="BM71" s="18"/>
      <c r="BN71" s="18"/>
      <c r="BO71" s="18"/>
      <c r="BP71" s="18"/>
      <c r="BQ71" s="18"/>
      <c r="BR71" s="18"/>
      <c r="BS71" s="18"/>
      <c r="BT71" s="18"/>
      <c r="BU71" s="19">
        <f t="shared" ref="BU71" si="255">SUM(BI71:BT71)</f>
        <v>0</v>
      </c>
      <c r="BW71" s="18"/>
      <c r="BX71" s="18"/>
      <c r="BY71" s="18"/>
      <c r="BZ71" s="18"/>
      <c r="CA71" s="18"/>
      <c r="CB71" s="18"/>
      <c r="CC71" s="18"/>
      <c r="CD71" s="18"/>
      <c r="CE71" s="18"/>
      <c r="CF71" s="18"/>
      <c r="CG71" s="18"/>
      <c r="CH71" s="18"/>
      <c r="CI71" s="19">
        <f t="shared" ref="CI71" si="256">SUM(BW71:CH71)</f>
        <v>0</v>
      </c>
    </row>
    <row r="72" spans="3:87" x14ac:dyDescent="0.25">
      <c r="C72" s="17" t="s">
        <v>51</v>
      </c>
      <c r="D72" s="10"/>
      <c r="E72" s="18"/>
      <c r="F72" s="18"/>
      <c r="G72" s="18"/>
      <c r="H72" s="18"/>
      <c r="I72" s="18"/>
      <c r="J72" s="18"/>
      <c r="K72" s="18"/>
      <c r="L72" s="18"/>
      <c r="M72" s="18"/>
      <c r="N72" s="18"/>
      <c r="O72" s="18"/>
      <c r="P72" s="18"/>
      <c r="Q72" s="19">
        <f t="shared" ref="Q72:Q80" si="257">SUM(E72:P72)</f>
        <v>0</v>
      </c>
      <c r="S72" s="18"/>
      <c r="T72" s="18"/>
      <c r="U72" s="18"/>
      <c r="V72" s="18"/>
      <c r="W72" s="18"/>
      <c r="X72" s="18"/>
      <c r="Y72" s="18"/>
      <c r="Z72" s="18"/>
      <c r="AA72" s="18"/>
      <c r="AB72" s="18"/>
      <c r="AC72" s="18"/>
      <c r="AD72" s="18"/>
      <c r="AE72" s="19">
        <f t="shared" ref="AE72:AE80" si="258">SUM(S72:AD72)</f>
        <v>0</v>
      </c>
      <c r="AG72" s="18"/>
      <c r="AH72" s="18"/>
      <c r="AI72" s="18"/>
      <c r="AJ72" s="18"/>
      <c r="AK72" s="18"/>
      <c r="AL72" s="18"/>
      <c r="AM72" s="18"/>
      <c r="AN72" s="18"/>
      <c r="AO72" s="18"/>
      <c r="AP72" s="18"/>
      <c r="AQ72" s="18"/>
      <c r="AR72" s="18"/>
      <c r="AS72" s="19">
        <f t="shared" ref="AS72:AS80" si="259">SUM(AG72:AR72)</f>
        <v>0</v>
      </c>
      <c r="AU72" s="18"/>
      <c r="AV72" s="18"/>
      <c r="AW72" s="18"/>
      <c r="AX72" s="18"/>
      <c r="AY72" s="18"/>
      <c r="AZ72" s="18"/>
      <c r="BA72" s="18"/>
      <c r="BB72" s="18"/>
      <c r="BC72" s="18"/>
      <c r="BD72" s="18"/>
      <c r="BE72" s="18"/>
      <c r="BF72" s="18"/>
      <c r="BG72" s="19">
        <f t="shared" ref="BG72:BG80" si="260">SUM(AU72:BF72)</f>
        <v>0</v>
      </c>
      <c r="BI72" s="18"/>
      <c r="BJ72" s="18"/>
      <c r="BK72" s="18"/>
      <c r="BL72" s="18"/>
      <c r="BM72" s="18"/>
      <c r="BN72" s="18"/>
      <c r="BO72" s="18"/>
      <c r="BP72" s="18"/>
      <c r="BQ72" s="18"/>
      <c r="BR72" s="18"/>
      <c r="BS72" s="18"/>
      <c r="BT72" s="18"/>
      <c r="BU72" s="19">
        <f t="shared" ref="BU72:BU80" si="261">SUM(BI72:BT72)</f>
        <v>0</v>
      </c>
      <c r="BW72" s="18"/>
      <c r="BX72" s="18"/>
      <c r="BY72" s="18"/>
      <c r="BZ72" s="18"/>
      <c r="CA72" s="18"/>
      <c r="CB72" s="18"/>
      <c r="CC72" s="18"/>
      <c r="CD72" s="18"/>
      <c r="CE72" s="18"/>
      <c r="CF72" s="18"/>
      <c r="CG72" s="18"/>
      <c r="CH72" s="18"/>
      <c r="CI72" s="19">
        <f t="shared" ref="CI72:CI80" si="262">SUM(BW72:CH72)</f>
        <v>0</v>
      </c>
    </row>
    <row r="73" spans="3:87" x14ac:dyDescent="0.25">
      <c r="C73" s="17" t="s">
        <v>51</v>
      </c>
      <c r="D73" s="10"/>
      <c r="E73" s="18"/>
      <c r="F73" s="18"/>
      <c r="G73" s="18"/>
      <c r="H73" s="18"/>
      <c r="I73" s="18"/>
      <c r="J73" s="18"/>
      <c r="K73" s="18"/>
      <c r="L73" s="18"/>
      <c r="M73" s="18"/>
      <c r="N73" s="18"/>
      <c r="O73" s="18"/>
      <c r="P73" s="18"/>
      <c r="Q73" s="19">
        <f t="shared" si="257"/>
        <v>0</v>
      </c>
      <c r="S73" s="18"/>
      <c r="T73" s="18"/>
      <c r="U73" s="18"/>
      <c r="V73" s="18"/>
      <c r="W73" s="18"/>
      <c r="X73" s="18"/>
      <c r="Y73" s="18"/>
      <c r="Z73" s="18"/>
      <c r="AA73" s="18"/>
      <c r="AB73" s="18"/>
      <c r="AC73" s="18"/>
      <c r="AD73" s="18"/>
      <c r="AE73" s="19">
        <f t="shared" si="258"/>
        <v>0</v>
      </c>
      <c r="AG73" s="18"/>
      <c r="AH73" s="18"/>
      <c r="AI73" s="18"/>
      <c r="AJ73" s="18"/>
      <c r="AK73" s="18"/>
      <c r="AL73" s="18"/>
      <c r="AM73" s="18"/>
      <c r="AN73" s="18"/>
      <c r="AO73" s="18"/>
      <c r="AP73" s="18"/>
      <c r="AQ73" s="18"/>
      <c r="AR73" s="18"/>
      <c r="AS73" s="19">
        <f t="shared" si="259"/>
        <v>0</v>
      </c>
      <c r="AU73" s="18"/>
      <c r="AV73" s="18"/>
      <c r="AW73" s="18"/>
      <c r="AX73" s="18"/>
      <c r="AY73" s="18"/>
      <c r="AZ73" s="18"/>
      <c r="BA73" s="18"/>
      <c r="BB73" s="18"/>
      <c r="BC73" s="18"/>
      <c r="BD73" s="18"/>
      <c r="BE73" s="18"/>
      <c r="BF73" s="18"/>
      <c r="BG73" s="19">
        <f t="shared" si="260"/>
        <v>0</v>
      </c>
      <c r="BI73" s="18"/>
      <c r="BJ73" s="18"/>
      <c r="BK73" s="18"/>
      <c r="BL73" s="18"/>
      <c r="BM73" s="18"/>
      <c r="BN73" s="18"/>
      <c r="BO73" s="18"/>
      <c r="BP73" s="18"/>
      <c r="BQ73" s="18"/>
      <c r="BR73" s="18"/>
      <c r="BS73" s="18"/>
      <c r="BT73" s="18"/>
      <c r="BU73" s="19">
        <f t="shared" si="261"/>
        <v>0</v>
      </c>
      <c r="BW73" s="18"/>
      <c r="BX73" s="18"/>
      <c r="BY73" s="18"/>
      <c r="BZ73" s="18"/>
      <c r="CA73" s="18"/>
      <c r="CB73" s="18"/>
      <c r="CC73" s="18"/>
      <c r="CD73" s="18"/>
      <c r="CE73" s="18"/>
      <c r="CF73" s="18"/>
      <c r="CG73" s="18"/>
      <c r="CH73" s="18"/>
      <c r="CI73" s="19">
        <f t="shared" si="262"/>
        <v>0</v>
      </c>
    </row>
    <row r="74" spans="3:87" x14ac:dyDescent="0.25">
      <c r="C74" s="17" t="s">
        <v>51</v>
      </c>
      <c r="D74" s="10"/>
      <c r="E74" s="18"/>
      <c r="F74" s="18"/>
      <c r="G74" s="18"/>
      <c r="H74" s="18"/>
      <c r="I74" s="18"/>
      <c r="J74" s="18"/>
      <c r="K74" s="18"/>
      <c r="L74" s="18"/>
      <c r="M74" s="18"/>
      <c r="N74" s="18"/>
      <c r="O74" s="18"/>
      <c r="P74" s="18"/>
      <c r="Q74" s="19">
        <f t="shared" si="257"/>
        <v>0</v>
      </c>
      <c r="S74" s="18"/>
      <c r="T74" s="18"/>
      <c r="U74" s="18"/>
      <c r="V74" s="18"/>
      <c r="W74" s="18"/>
      <c r="X74" s="18"/>
      <c r="Y74" s="18"/>
      <c r="Z74" s="18"/>
      <c r="AA74" s="18"/>
      <c r="AB74" s="18"/>
      <c r="AC74" s="18"/>
      <c r="AD74" s="18"/>
      <c r="AE74" s="19">
        <f t="shared" si="258"/>
        <v>0</v>
      </c>
      <c r="AG74" s="18"/>
      <c r="AH74" s="18"/>
      <c r="AI74" s="18"/>
      <c r="AJ74" s="18"/>
      <c r="AK74" s="18"/>
      <c r="AL74" s="18"/>
      <c r="AM74" s="18"/>
      <c r="AN74" s="18"/>
      <c r="AO74" s="18"/>
      <c r="AP74" s="18"/>
      <c r="AQ74" s="18"/>
      <c r="AR74" s="18"/>
      <c r="AS74" s="19">
        <f t="shared" si="259"/>
        <v>0</v>
      </c>
      <c r="AU74" s="18"/>
      <c r="AV74" s="18"/>
      <c r="AW74" s="18"/>
      <c r="AX74" s="18"/>
      <c r="AY74" s="18"/>
      <c r="AZ74" s="18"/>
      <c r="BA74" s="18"/>
      <c r="BB74" s="18"/>
      <c r="BC74" s="18"/>
      <c r="BD74" s="18"/>
      <c r="BE74" s="18"/>
      <c r="BF74" s="18"/>
      <c r="BG74" s="19">
        <f t="shared" si="260"/>
        <v>0</v>
      </c>
      <c r="BI74" s="18"/>
      <c r="BJ74" s="18"/>
      <c r="BK74" s="18"/>
      <c r="BL74" s="18"/>
      <c r="BM74" s="18"/>
      <c r="BN74" s="18"/>
      <c r="BO74" s="18"/>
      <c r="BP74" s="18"/>
      <c r="BQ74" s="18"/>
      <c r="BR74" s="18"/>
      <c r="BS74" s="18"/>
      <c r="BT74" s="18"/>
      <c r="BU74" s="19">
        <f t="shared" si="261"/>
        <v>0</v>
      </c>
      <c r="BW74" s="18"/>
      <c r="BX74" s="18"/>
      <c r="BY74" s="18"/>
      <c r="BZ74" s="18"/>
      <c r="CA74" s="18"/>
      <c r="CB74" s="18"/>
      <c r="CC74" s="18"/>
      <c r="CD74" s="18"/>
      <c r="CE74" s="18"/>
      <c r="CF74" s="18"/>
      <c r="CG74" s="18"/>
      <c r="CH74" s="18"/>
      <c r="CI74" s="19">
        <f t="shared" si="262"/>
        <v>0</v>
      </c>
    </row>
    <row r="75" spans="3:87" x14ac:dyDescent="0.25">
      <c r="C75" s="17" t="s">
        <v>51</v>
      </c>
      <c r="D75" s="10"/>
      <c r="E75" s="18"/>
      <c r="F75" s="18"/>
      <c r="G75" s="18"/>
      <c r="H75" s="18"/>
      <c r="I75" s="18"/>
      <c r="J75" s="18"/>
      <c r="K75" s="18"/>
      <c r="L75" s="18"/>
      <c r="M75" s="18"/>
      <c r="N75" s="18"/>
      <c r="O75" s="18"/>
      <c r="P75" s="18"/>
      <c r="Q75" s="19">
        <f t="shared" si="257"/>
        <v>0</v>
      </c>
      <c r="S75" s="18"/>
      <c r="T75" s="18"/>
      <c r="U75" s="18"/>
      <c r="V75" s="18"/>
      <c r="W75" s="18"/>
      <c r="X75" s="18"/>
      <c r="Y75" s="18"/>
      <c r="Z75" s="18"/>
      <c r="AA75" s="18"/>
      <c r="AB75" s="18"/>
      <c r="AC75" s="18"/>
      <c r="AD75" s="18"/>
      <c r="AE75" s="19">
        <f t="shared" si="258"/>
        <v>0</v>
      </c>
      <c r="AG75" s="18"/>
      <c r="AH75" s="18"/>
      <c r="AI75" s="18"/>
      <c r="AJ75" s="18"/>
      <c r="AK75" s="18"/>
      <c r="AL75" s="18"/>
      <c r="AM75" s="18"/>
      <c r="AN75" s="18"/>
      <c r="AO75" s="18"/>
      <c r="AP75" s="18"/>
      <c r="AQ75" s="18"/>
      <c r="AR75" s="18"/>
      <c r="AS75" s="19">
        <f t="shared" si="259"/>
        <v>0</v>
      </c>
      <c r="AU75" s="18"/>
      <c r="AV75" s="18"/>
      <c r="AW75" s="18"/>
      <c r="AX75" s="18"/>
      <c r="AY75" s="18"/>
      <c r="AZ75" s="18"/>
      <c r="BA75" s="18"/>
      <c r="BB75" s="18"/>
      <c r="BC75" s="18"/>
      <c r="BD75" s="18"/>
      <c r="BE75" s="18"/>
      <c r="BF75" s="18"/>
      <c r="BG75" s="19">
        <f t="shared" si="260"/>
        <v>0</v>
      </c>
      <c r="BI75" s="18"/>
      <c r="BJ75" s="18"/>
      <c r="BK75" s="18"/>
      <c r="BL75" s="18"/>
      <c r="BM75" s="18"/>
      <c r="BN75" s="18"/>
      <c r="BO75" s="18"/>
      <c r="BP75" s="18"/>
      <c r="BQ75" s="18"/>
      <c r="BR75" s="18"/>
      <c r="BS75" s="18"/>
      <c r="BT75" s="18"/>
      <c r="BU75" s="19">
        <f t="shared" si="261"/>
        <v>0</v>
      </c>
      <c r="BW75" s="18"/>
      <c r="BX75" s="18"/>
      <c r="BY75" s="18"/>
      <c r="BZ75" s="18"/>
      <c r="CA75" s="18"/>
      <c r="CB75" s="18"/>
      <c r="CC75" s="18"/>
      <c r="CD75" s="18"/>
      <c r="CE75" s="18"/>
      <c r="CF75" s="18"/>
      <c r="CG75" s="18"/>
      <c r="CH75" s="18"/>
      <c r="CI75" s="19">
        <f t="shared" si="262"/>
        <v>0</v>
      </c>
    </row>
    <row r="76" spans="3:87" x14ac:dyDescent="0.25">
      <c r="C76" s="17" t="s">
        <v>51</v>
      </c>
      <c r="E76" s="18"/>
      <c r="F76" s="18"/>
      <c r="G76" s="18"/>
      <c r="H76" s="18"/>
      <c r="I76" s="18"/>
      <c r="J76" s="18"/>
      <c r="K76" s="18"/>
      <c r="L76" s="18"/>
      <c r="M76" s="18"/>
      <c r="N76" s="18"/>
      <c r="O76" s="18"/>
      <c r="P76" s="18"/>
      <c r="Q76" s="19">
        <f t="shared" si="257"/>
        <v>0</v>
      </c>
      <c r="S76" s="18"/>
      <c r="T76" s="18"/>
      <c r="U76" s="18"/>
      <c r="V76" s="18"/>
      <c r="W76" s="18"/>
      <c r="X76" s="18"/>
      <c r="Y76" s="18"/>
      <c r="Z76" s="18"/>
      <c r="AA76" s="18"/>
      <c r="AB76" s="18"/>
      <c r="AC76" s="18"/>
      <c r="AD76" s="18"/>
      <c r="AE76" s="19">
        <f t="shared" si="258"/>
        <v>0</v>
      </c>
      <c r="AG76" s="18"/>
      <c r="AH76" s="18"/>
      <c r="AI76" s="18"/>
      <c r="AJ76" s="18"/>
      <c r="AK76" s="18"/>
      <c r="AL76" s="18"/>
      <c r="AM76" s="18"/>
      <c r="AN76" s="18"/>
      <c r="AO76" s="18"/>
      <c r="AP76" s="18"/>
      <c r="AQ76" s="18"/>
      <c r="AR76" s="18"/>
      <c r="AS76" s="19">
        <f t="shared" si="259"/>
        <v>0</v>
      </c>
      <c r="AU76" s="18"/>
      <c r="AV76" s="18"/>
      <c r="AW76" s="18"/>
      <c r="AX76" s="18"/>
      <c r="AY76" s="18"/>
      <c r="AZ76" s="18"/>
      <c r="BA76" s="18"/>
      <c r="BB76" s="18"/>
      <c r="BC76" s="18"/>
      <c r="BD76" s="18"/>
      <c r="BE76" s="18"/>
      <c r="BF76" s="18"/>
      <c r="BG76" s="19">
        <f t="shared" si="260"/>
        <v>0</v>
      </c>
      <c r="BI76" s="18"/>
      <c r="BJ76" s="18"/>
      <c r="BK76" s="18"/>
      <c r="BL76" s="18"/>
      <c r="BM76" s="18"/>
      <c r="BN76" s="18"/>
      <c r="BO76" s="18"/>
      <c r="BP76" s="18"/>
      <c r="BQ76" s="18"/>
      <c r="BR76" s="18"/>
      <c r="BS76" s="18"/>
      <c r="BT76" s="18"/>
      <c r="BU76" s="19">
        <f t="shared" si="261"/>
        <v>0</v>
      </c>
      <c r="BW76" s="18"/>
      <c r="BX76" s="18"/>
      <c r="BY76" s="18"/>
      <c r="BZ76" s="18"/>
      <c r="CA76" s="18"/>
      <c r="CB76" s="18"/>
      <c r="CC76" s="18"/>
      <c r="CD76" s="18"/>
      <c r="CE76" s="18"/>
      <c r="CF76" s="18"/>
      <c r="CG76" s="18"/>
      <c r="CH76" s="18"/>
      <c r="CI76" s="19">
        <f t="shared" si="262"/>
        <v>0</v>
      </c>
    </row>
    <row r="77" spans="3:87" x14ac:dyDescent="0.25">
      <c r="C77" s="17" t="s">
        <v>51</v>
      </c>
      <c r="E77" s="18"/>
      <c r="F77" s="18"/>
      <c r="G77" s="18"/>
      <c r="H77" s="18"/>
      <c r="I77" s="18"/>
      <c r="J77" s="18"/>
      <c r="K77" s="18"/>
      <c r="L77" s="18"/>
      <c r="M77" s="18"/>
      <c r="N77" s="18"/>
      <c r="O77" s="18"/>
      <c r="P77" s="18"/>
      <c r="Q77" s="19">
        <f t="shared" si="257"/>
        <v>0</v>
      </c>
      <c r="S77" s="18"/>
      <c r="T77" s="18"/>
      <c r="U77" s="18"/>
      <c r="V77" s="18"/>
      <c r="W77" s="18"/>
      <c r="X77" s="18"/>
      <c r="Y77" s="18"/>
      <c r="Z77" s="18"/>
      <c r="AA77" s="18"/>
      <c r="AB77" s="18"/>
      <c r="AC77" s="18"/>
      <c r="AD77" s="18"/>
      <c r="AE77" s="19">
        <f t="shared" si="258"/>
        <v>0</v>
      </c>
      <c r="AG77" s="18"/>
      <c r="AH77" s="18"/>
      <c r="AI77" s="18"/>
      <c r="AJ77" s="18"/>
      <c r="AK77" s="18"/>
      <c r="AL77" s="18"/>
      <c r="AM77" s="18"/>
      <c r="AN77" s="18"/>
      <c r="AO77" s="18"/>
      <c r="AP77" s="18"/>
      <c r="AQ77" s="18"/>
      <c r="AR77" s="18"/>
      <c r="AS77" s="19">
        <f t="shared" si="259"/>
        <v>0</v>
      </c>
      <c r="AU77" s="18"/>
      <c r="AV77" s="18"/>
      <c r="AW77" s="18"/>
      <c r="AX77" s="18"/>
      <c r="AY77" s="18"/>
      <c r="AZ77" s="18"/>
      <c r="BA77" s="18"/>
      <c r="BB77" s="18"/>
      <c r="BC77" s="18"/>
      <c r="BD77" s="18"/>
      <c r="BE77" s="18"/>
      <c r="BF77" s="18"/>
      <c r="BG77" s="19">
        <f t="shared" si="260"/>
        <v>0</v>
      </c>
      <c r="BI77" s="18"/>
      <c r="BJ77" s="18"/>
      <c r="BK77" s="18"/>
      <c r="BL77" s="18"/>
      <c r="BM77" s="18"/>
      <c r="BN77" s="18"/>
      <c r="BO77" s="18"/>
      <c r="BP77" s="18"/>
      <c r="BQ77" s="18"/>
      <c r="BR77" s="18"/>
      <c r="BS77" s="18"/>
      <c r="BT77" s="18"/>
      <c r="BU77" s="19">
        <f t="shared" si="261"/>
        <v>0</v>
      </c>
      <c r="BW77" s="18"/>
      <c r="BX77" s="18"/>
      <c r="BY77" s="18"/>
      <c r="BZ77" s="18"/>
      <c r="CA77" s="18"/>
      <c r="CB77" s="18"/>
      <c r="CC77" s="18"/>
      <c r="CD77" s="18"/>
      <c r="CE77" s="18"/>
      <c r="CF77" s="18"/>
      <c r="CG77" s="18"/>
      <c r="CH77" s="18"/>
      <c r="CI77" s="19">
        <f t="shared" si="262"/>
        <v>0</v>
      </c>
    </row>
    <row r="78" spans="3:87" x14ac:dyDescent="0.25">
      <c r="C78" s="17" t="s">
        <v>51</v>
      </c>
      <c r="E78" s="18"/>
      <c r="F78" s="18"/>
      <c r="G78" s="18"/>
      <c r="H78" s="18"/>
      <c r="I78" s="18"/>
      <c r="J78" s="18"/>
      <c r="K78" s="18"/>
      <c r="L78" s="18"/>
      <c r="M78" s="18"/>
      <c r="N78" s="18"/>
      <c r="O78" s="18"/>
      <c r="P78" s="18"/>
      <c r="Q78" s="19">
        <f t="shared" si="257"/>
        <v>0</v>
      </c>
      <c r="S78" s="18"/>
      <c r="T78" s="18"/>
      <c r="U78" s="18"/>
      <c r="V78" s="18"/>
      <c r="W78" s="18"/>
      <c r="X78" s="18"/>
      <c r="Y78" s="18"/>
      <c r="Z78" s="18"/>
      <c r="AA78" s="18"/>
      <c r="AB78" s="18"/>
      <c r="AC78" s="18"/>
      <c r="AD78" s="18"/>
      <c r="AE78" s="19">
        <f t="shared" si="258"/>
        <v>0</v>
      </c>
      <c r="AG78" s="18"/>
      <c r="AH78" s="18"/>
      <c r="AI78" s="18"/>
      <c r="AJ78" s="18"/>
      <c r="AK78" s="18"/>
      <c r="AL78" s="18"/>
      <c r="AM78" s="18"/>
      <c r="AN78" s="18"/>
      <c r="AO78" s="18"/>
      <c r="AP78" s="18"/>
      <c r="AQ78" s="18"/>
      <c r="AR78" s="18"/>
      <c r="AS78" s="19">
        <f t="shared" si="259"/>
        <v>0</v>
      </c>
      <c r="AU78" s="18"/>
      <c r="AV78" s="18"/>
      <c r="AW78" s="18"/>
      <c r="AX78" s="18"/>
      <c r="AY78" s="18"/>
      <c r="AZ78" s="18"/>
      <c r="BA78" s="18"/>
      <c r="BB78" s="18"/>
      <c r="BC78" s="18"/>
      <c r="BD78" s="18"/>
      <c r="BE78" s="18"/>
      <c r="BF78" s="18"/>
      <c r="BG78" s="19">
        <f t="shared" si="260"/>
        <v>0</v>
      </c>
      <c r="BI78" s="18"/>
      <c r="BJ78" s="18"/>
      <c r="BK78" s="18"/>
      <c r="BL78" s="18"/>
      <c r="BM78" s="18"/>
      <c r="BN78" s="18"/>
      <c r="BO78" s="18"/>
      <c r="BP78" s="18"/>
      <c r="BQ78" s="18"/>
      <c r="BR78" s="18"/>
      <c r="BS78" s="18"/>
      <c r="BT78" s="18"/>
      <c r="BU78" s="19">
        <f t="shared" si="261"/>
        <v>0</v>
      </c>
      <c r="BW78" s="18"/>
      <c r="BX78" s="18"/>
      <c r="BY78" s="18"/>
      <c r="BZ78" s="18"/>
      <c r="CA78" s="18"/>
      <c r="CB78" s="18"/>
      <c r="CC78" s="18"/>
      <c r="CD78" s="18"/>
      <c r="CE78" s="18"/>
      <c r="CF78" s="18"/>
      <c r="CG78" s="18"/>
      <c r="CH78" s="18"/>
      <c r="CI78" s="19">
        <f t="shared" si="262"/>
        <v>0</v>
      </c>
    </row>
    <row r="79" spans="3:87" x14ac:dyDescent="0.25">
      <c r="C79" s="17" t="s">
        <v>51</v>
      </c>
      <c r="E79" s="18"/>
      <c r="F79" s="18"/>
      <c r="G79" s="18"/>
      <c r="H79" s="18"/>
      <c r="I79" s="18"/>
      <c r="J79" s="18"/>
      <c r="K79" s="18"/>
      <c r="L79" s="18"/>
      <c r="M79" s="18"/>
      <c r="N79" s="18"/>
      <c r="O79" s="18"/>
      <c r="P79" s="18"/>
      <c r="Q79" s="19">
        <f t="shared" si="257"/>
        <v>0</v>
      </c>
      <c r="S79" s="18"/>
      <c r="T79" s="18"/>
      <c r="U79" s="18"/>
      <c r="V79" s="18"/>
      <c r="W79" s="18"/>
      <c r="X79" s="18"/>
      <c r="Y79" s="18"/>
      <c r="Z79" s="18"/>
      <c r="AA79" s="18"/>
      <c r="AB79" s="18"/>
      <c r="AC79" s="18"/>
      <c r="AD79" s="18"/>
      <c r="AE79" s="19">
        <f t="shared" si="258"/>
        <v>0</v>
      </c>
      <c r="AG79" s="18"/>
      <c r="AH79" s="18"/>
      <c r="AI79" s="18"/>
      <c r="AJ79" s="18"/>
      <c r="AK79" s="18"/>
      <c r="AL79" s="18"/>
      <c r="AM79" s="18"/>
      <c r="AN79" s="18"/>
      <c r="AO79" s="18"/>
      <c r="AP79" s="18"/>
      <c r="AQ79" s="18"/>
      <c r="AR79" s="18"/>
      <c r="AS79" s="19">
        <f t="shared" si="259"/>
        <v>0</v>
      </c>
      <c r="AU79" s="18"/>
      <c r="AV79" s="18"/>
      <c r="AW79" s="18"/>
      <c r="AX79" s="18"/>
      <c r="AY79" s="18"/>
      <c r="AZ79" s="18"/>
      <c r="BA79" s="18"/>
      <c r="BB79" s="18"/>
      <c r="BC79" s="18"/>
      <c r="BD79" s="18"/>
      <c r="BE79" s="18"/>
      <c r="BF79" s="18"/>
      <c r="BG79" s="19">
        <f t="shared" si="260"/>
        <v>0</v>
      </c>
      <c r="BI79" s="18"/>
      <c r="BJ79" s="18"/>
      <c r="BK79" s="18"/>
      <c r="BL79" s="18"/>
      <c r="BM79" s="18"/>
      <c r="BN79" s="18"/>
      <c r="BO79" s="18"/>
      <c r="BP79" s="18"/>
      <c r="BQ79" s="18"/>
      <c r="BR79" s="18"/>
      <c r="BS79" s="18"/>
      <c r="BT79" s="18"/>
      <c r="BU79" s="19">
        <f t="shared" si="261"/>
        <v>0</v>
      </c>
      <c r="BW79" s="18"/>
      <c r="BX79" s="18"/>
      <c r="BY79" s="18"/>
      <c r="BZ79" s="18"/>
      <c r="CA79" s="18"/>
      <c r="CB79" s="18"/>
      <c r="CC79" s="18"/>
      <c r="CD79" s="18"/>
      <c r="CE79" s="18"/>
      <c r="CF79" s="18"/>
      <c r="CG79" s="18"/>
      <c r="CH79" s="18"/>
      <c r="CI79" s="19">
        <f t="shared" si="262"/>
        <v>0</v>
      </c>
    </row>
    <row r="80" spans="3:87" x14ac:dyDescent="0.25">
      <c r="C80" s="17" t="s">
        <v>51</v>
      </c>
      <c r="E80" s="18"/>
      <c r="F80" s="18"/>
      <c r="G80" s="18"/>
      <c r="H80" s="18"/>
      <c r="I80" s="18"/>
      <c r="J80" s="18"/>
      <c r="K80" s="18"/>
      <c r="L80" s="18"/>
      <c r="M80" s="18"/>
      <c r="N80" s="18"/>
      <c r="O80" s="18"/>
      <c r="P80" s="18"/>
      <c r="Q80" s="19">
        <f t="shared" si="257"/>
        <v>0</v>
      </c>
      <c r="S80" s="18"/>
      <c r="T80" s="18"/>
      <c r="U80" s="18"/>
      <c r="V80" s="18"/>
      <c r="W80" s="18"/>
      <c r="X80" s="18"/>
      <c r="Y80" s="18"/>
      <c r="Z80" s="18"/>
      <c r="AA80" s="18"/>
      <c r="AB80" s="18"/>
      <c r="AC80" s="18"/>
      <c r="AD80" s="18"/>
      <c r="AE80" s="19">
        <f t="shared" si="258"/>
        <v>0</v>
      </c>
      <c r="AG80" s="18"/>
      <c r="AH80" s="18"/>
      <c r="AI80" s="18"/>
      <c r="AJ80" s="18"/>
      <c r="AK80" s="18"/>
      <c r="AL80" s="18"/>
      <c r="AM80" s="18"/>
      <c r="AN80" s="18"/>
      <c r="AO80" s="18"/>
      <c r="AP80" s="18"/>
      <c r="AQ80" s="18"/>
      <c r="AR80" s="18"/>
      <c r="AS80" s="19">
        <f t="shared" si="259"/>
        <v>0</v>
      </c>
      <c r="AU80" s="18"/>
      <c r="AV80" s="18"/>
      <c r="AW80" s="18"/>
      <c r="AX80" s="18"/>
      <c r="AY80" s="18"/>
      <c r="AZ80" s="18"/>
      <c r="BA80" s="18"/>
      <c r="BB80" s="18"/>
      <c r="BC80" s="18"/>
      <c r="BD80" s="18"/>
      <c r="BE80" s="18"/>
      <c r="BF80" s="18"/>
      <c r="BG80" s="19">
        <f t="shared" si="260"/>
        <v>0</v>
      </c>
      <c r="BI80" s="18"/>
      <c r="BJ80" s="18"/>
      <c r="BK80" s="18"/>
      <c r="BL80" s="18"/>
      <c r="BM80" s="18"/>
      <c r="BN80" s="18"/>
      <c r="BO80" s="18"/>
      <c r="BP80" s="18"/>
      <c r="BQ80" s="18"/>
      <c r="BR80" s="18"/>
      <c r="BS80" s="18"/>
      <c r="BT80" s="18"/>
      <c r="BU80" s="19">
        <f t="shared" si="261"/>
        <v>0</v>
      </c>
      <c r="BW80" s="18"/>
      <c r="BX80" s="18"/>
      <c r="BY80" s="18"/>
      <c r="BZ80" s="18"/>
      <c r="CA80" s="18"/>
      <c r="CB80" s="18"/>
      <c r="CC80" s="18"/>
      <c r="CD80" s="18"/>
      <c r="CE80" s="18"/>
      <c r="CF80" s="18"/>
      <c r="CG80" s="18"/>
      <c r="CH80" s="18"/>
      <c r="CI80" s="19">
        <f t="shared" si="262"/>
        <v>0</v>
      </c>
    </row>
    <row r="81" spans="3:87" x14ac:dyDescent="0.25">
      <c r="C81" s="15" t="s">
        <v>26</v>
      </c>
      <c r="E81" s="20" cm="1">
        <f t="array" aca="1" ref="E81" ca="1">SUM(INDIRECT(ADDRESS(Savings_Min_Row,COLUMN())&amp;":"&amp;ADDRESS(Savings_Max_Row,COLUMN())))</f>
        <v>0</v>
      </c>
      <c r="F81" s="20" cm="1">
        <f t="array" aca="1" ref="F81" ca="1">SUM(INDIRECT(ADDRESS(Savings_Min_Row,COLUMN())&amp;":"&amp;ADDRESS(Savings_Max_Row,COLUMN())))</f>
        <v>0</v>
      </c>
      <c r="G81" s="20" cm="1">
        <f t="array" aca="1" ref="G81" ca="1">SUM(INDIRECT(ADDRESS(Savings_Min_Row,COLUMN())&amp;":"&amp;ADDRESS(Savings_Max_Row,COLUMN())))</f>
        <v>0</v>
      </c>
      <c r="H81" s="20" cm="1">
        <f t="array" aca="1" ref="H81" ca="1">SUM(INDIRECT(ADDRESS(Savings_Min_Row,COLUMN())&amp;":"&amp;ADDRESS(Savings_Max_Row,COLUMN())))</f>
        <v>0</v>
      </c>
      <c r="I81" s="20" cm="1">
        <f t="array" aca="1" ref="I81" ca="1">SUM(INDIRECT(ADDRESS(Savings_Min_Row,COLUMN())&amp;":"&amp;ADDRESS(Savings_Max_Row,COLUMN())))</f>
        <v>0</v>
      </c>
      <c r="J81" s="20" cm="1">
        <f t="array" aca="1" ref="J81" ca="1">SUM(INDIRECT(ADDRESS(Savings_Min_Row,COLUMN())&amp;":"&amp;ADDRESS(Savings_Max_Row,COLUMN())))</f>
        <v>0</v>
      </c>
      <c r="K81" s="20" cm="1">
        <f t="array" aca="1" ref="K81" ca="1">SUM(INDIRECT(ADDRESS(Savings_Min_Row,COLUMN())&amp;":"&amp;ADDRESS(Savings_Max_Row,COLUMN())))</f>
        <v>0</v>
      </c>
      <c r="L81" s="20" cm="1">
        <f t="array" aca="1" ref="L81" ca="1">SUM(INDIRECT(ADDRESS(Savings_Min_Row,COLUMN())&amp;":"&amp;ADDRESS(Savings_Max_Row,COLUMN())))</f>
        <v>0</v>
      </c>
      <c r="M81" s="20" cm="1">
        <f t="array" aca="1" ref="M81" ca="1">SUM(INDIRECT(ADDRESS(Savings_Min_Row,COLUMN())&amp;":"&amp;ADDRESS(Savings_Max_Row,COLUMN())))</f>
        <v>0</v>
      </c>
      <c r="N81" s="20" cm="1">
        <f t="array" aca="1" ref="N81" ca="1">SUM(INDIRECT(ADDRESS(Savings_Min_Row,COLUMN())&amp;":"&amp;ADDRESS(Savings_Max_Row,COLUMN())))</f>
        <v>0</v>
      </c>
      <c r="O81" s="20" cm="1">
        <f t="array" aca="1" ref="O81" ca="1">SUM(INDIRECT(ADDRESS(Savings_Min_Row,COLUMN())&amp;":"&amp;ADDRESS(Savings_Max_Row,COLUMN())))</f>
        <v>0</v>
      </c>
      <c r="P81" s="20" cm="1">
        <f t="array" aca="1" ref="P81" ca="1">SUM(INDIRECT(ADDRESS(Savings_Min_Row,COLUMN())&amp;":"&amp;ADDRESS(Savings_Max_Row,COLUMN())))</f>
        <v>0</v>
      </c>
      <c r="Q81" s="20" cm="1">
        <f t="array" aca="1" ref="Q81" ca="1">SUM(INDIRECT(ADDRESS(Savings_Min_Row,COLUMN())&amp;":"&amp;ADDRESS(Savings_Max_Row,COLUMN())))</f>
        <v>0</v>
      </c>
      <c r="S81" s="20" cm="1">
        <f t="array" aca="1" ref="S81" ca="1">SUM(INDIRECT(ADDRESS(Savings_Min_Row,COLUMN())&amp;":"&amp;ADDRESS(Savings_Max_Row,COLUMN())))</f>
        <v>0</v>
      </c>
      <c r="T81" s="20" cm="1">
        <f t="array" aca="1" ref="T81" ca="1">SUM(INDIRECT(ADDRESS(Savings_Min_Row,COLUMN())&amp;":"&amp;ADDRESS(Savings_Max_Row,COLUMN())))</f>
        <v>0</v>
      </c>
      <c r="U81" s="20" cm="1">
        <f t="array" aca="1" ref="U81" ca="1">SUM(INDIRECT(ADDRESS(Savings_Min_Row,COLUMN())&amp;":"&amp;ADDRESS(Savings_Max_Row,COLUMN())))</f>
        <v>0</v>
      </c>
      <c r="V81" s="20" cm="1">
        <f t="array" aca="1" ref="V81" ca="1">SUM(INDIRECT(ADDRESS(Savings_Min_Row,COLUMN())&amp;":"&amp;ADDRESS(Savings_Max_Row,COLUMN())))</f>
        <v>0</v>
      </c>
      <c r="W81" s="20" cm="1">
        <f t="array" aca="1" ref="W81" ca="1">SUM(INDIRECT(ADDRESS(Savings_Min_Row,COLUMN())&amp;":"&amp;ADDRESS(Savings_Max_Row,COLUMN())))</f>
        <v>0</v>
      </c>
      <c r="X81" s="20" cm="1">
        <f t="array" aca="1" ref="X81" ca="1">SUM(INDIRECT(ADDRESS(Savings_Min_Row,COLUMN())&amp;":"&amp;ADDRESS(Savings_Max_Row,COLUMN())))</f>
        <v>0</v>
      </c>
      <c r="Y81" s="20" cm="1">
        <f t="array" aca="1" ref="Y81" ca="1">SUM(INDIRECT(ADDRESS(Savings_Min_Row,COLUMN())&amp;":"&amp;ADDRESS(Savings_Max_Row,COLUMN())))</f>
        <v>0</v>
      </c>
      <c r="Z81" s="20" cm="1">
        <f t="array" aca="1" ref="Z81" ca="1">SUM(INDIRECT(ADDRESS(Savings_Min_Row,COLUMN())&amp;":"&amp;ADDRESS(Savings_Max_Row,COLUMN())))</f>
        <v>0</v>
      </c>
      <c r="AA81" s="20" cm="1">
        <f t="array" aca="1" ref="AA81" ca="1">SUM(INDIRECT(ADDRESS(Savings_Min_Row,COLUMN())&amp;":"&amp;ADDRESS(Savings_Max_Row,COLUMN())))</f>
        <v>0</v>
      </c>
      <c r="AB81" s="20" cm="1">
        <f t="array" aca="1" ref="AB81" ca="1">SUM(INDIRECT(ADDRESS(Savings_Min_Row,COLUMN())&amp;":"&amp;ADDRESS(Savings_Max_Row,COLUMN())))</f>
        <v>0</v>
      </c>
      <c r="AC81" s="20" cm="1">
        <f t="array" aca="1" ref="AC81" ca="1">SUM(INDIRECT(ADDRESS(Savings_Min_Row,COLUMN())&amp;":"&amp;ADDRESS(Savings_Max_Row,COLUMN())))</f>
        <v>0</v>
      </c>
      <c r="AD81" s="20" cm="1">
        <f t="array" aca="1" ref="AD81" ca="1">SUM(INDIRECT(ADDRESS(Savings_Min_Row,COLUMN())&amp;":"&amp;ADDRESS(Savings_Max_Row,COLUMN())))</f>
        <v>0</v>
      </c>
      <c r="AE81" s="20" cm="1">
        <f t="array" aca="1" ref="AE81" ca="1">SUM(INDIRECT(ADDRESS(Savings_Min_Row,COLUMN())&amp;":"&amp;ADDRESS(Savings_Max_Row,COLUMN())))</f>
        <v>0</v>
      </c>
      <c r="AG81" s="20" cm="1">
        <f t="array" aca="1" ref="AG81" ca="1">SUM(INDIRECT(ADDRESS(Savings_Min_Row,COLUMN())&amp;":"&amp;ADDRESS(Savings_Max_Row,COLUMN())))</f>
        <v>0</v>
      </c>
      <c r="AH81" s="20" cm="1">
        <f t="array" aca="1" ref="AH81" ca="1">SUM(INDIRECT(ADDRESS(Savings_Min_Row,COLUMN())&amp;":"&amp;ADDRESS(Savings_Max_Row,COLUMN())))</f>
        <v>0</v>
      </c>
      <c r="AI81" s="20" cm="1">
        <f t="array" aca="1" ref="AI81" ca="1">SUM(INDIRECT(ADDRESS(Savings_Min_Row,COLUMN())&amp;":"&amp;ADDRESS(Savings_Max_Row,COLUMN())))</f>
        <v>0</v>
      </c>
      <c r="AJ81" s="20" cm="1">
        <f t="array" aca="1" ref="AJ81" ca="1">SUM(INDIRECT(ADDRESS(Savings_Min_Row,COLUMN())&amp;":"&amp;ADDRESS(Savings_Max_Row,COLUMN())))</f>
        <v>0</v>
      </c>
      <c r="AK81" s="20" cm="1">
        <f t="array" aca="1" ref="AK81" ca="1">SUM(INDIRECT(ADDRESS(Savings_Min_Row,COLUMN())&amp;":"&amp;ADDRESS(Savings_Max_Row,COLUMN())))</f>
        <v>0</v>
      </c>
      <c r="AL81" s="20" cm="1">
        <f t="array" aca="1" ref="AL81" ca="1">SUM(INDIRECT(ADDRESS(Savings_Min_Row,COLUMN())&amp;":"&amp;ADDRESS(Savings_Max_Row,COLUMN())))</f>
        <v>0</v>
      </c>
      <c r="AM81" s="20" cm="1">
        <f t="array" aca="1" ref="AM81" ca="1">SUM(INDIRECT(ADDRESS(Savings_Min_Row,COLUMN())&amp;":"&amp;ADDRESS(Savings_Max_Row,COLUMN())))</f>
        <v>0</v>
      </c>
      <c r="AN81" s="20" cm="1">
        <f t="array" aca="1" ref="AN81" ca="1">SUM(INDIRECT(ADDRESS(Savings_Min_Row,COLUMN())&amp;":"&amp;ADDRESS(Savings_Max_Row,COLUMN())))</f>
        <v>0</v>
      </c>
      <c r="AO81" s="20" cm="1">
        <f t="array" aca="1" ref="AO81" ca="1">SUM(INDIRECT(ADDRESS(Savings_Min_Row,COLUMN())&amp;":"&amp;ADDRESS(Savings_Max_Row,COLUMN())))</f>
        <v>0</v>
      </c>
      <c r="AP81" s="20" cm="1">
        <f t="array" aca="1" ref="AP81" ca="1">SUM(INDIRECT(ADDRESS(Savings_Min_Row,COLUMN())&amp;":"&amp;ADDRESS(Savings_Max_Row,COLUMN())))</f>
        <v>0</v>
      </c>
      <c r="AQ81" s="20" cm="1">
        <f t="array" aca="1" ref="AQ81" ca="1">SUM(INDIRECT(ADDRESS(Savings_Min_Row,COLUMN())&amp;":"&amp;ADDRESS(Savings_Max_Row,COLUMN())))</f>
        <v>0</v>
      </c>
      <c r="AR81" s="20" cm="1">
        <f t="array" aca="1" ref="AR81" ca="1">SUM(INDIRECT(ADDRESS(Savings_Min_Row,COLUMN())&amp;":"&amp;ADDRESS(Savings_Max_Row,COLUMN())))</f>
        <v>0</v>
      </c>
      <c r="AS81" s="20" cm="1">
        <f t="array" aca="1" ref="AS81" ca="1">SUM(INDIRECT(ADDRESS(Savings_Min_Row,COLUMN())&amp;":"&amp;ADDRESS(Savings_Max_Row,COLUMN())))</f>
        <v>0</v>
      </c>
      <c r="AU81" s="20" cm="1">
        <f t="array" aca="1" ref="AU81" ca="1">SUM(INDIRECT(ADDRESS(Savings_Min_Row,COLUMN())&amp;":"&amp;ADDRESS(Savings_Max_Row,COLUMN())))</f>
        <v>0</v>
      </c>
      <c r="AV81" s="20" cm="1">
        <f t="array" aca="1" ref="AV81" ca="1">SUM(INDIRECT(ADDRESS(Savings_Min_Row,COLUMN())&amp;":"&amp;ADDRESS(Savings_Max_Row,COLUMN())))</f>
        <v>0</v>
      </c>
      <c r="AW81" s="20" cm="1">
        <f t="array" aca="1" ref="AW81" ca="1">SUM(INDIRECT(ADDRESS(Savings_Min_Row,COLUMN())&amp;":"&amp;ADDRESS(Savings_Max_Row,COLUMN())))</f>
        <v>0</v>
      </c>
      <c r="AX81" s="20" cm="1">
        <f t="array" aca="1" ref="AX81" ca="1">SUM(INDIRECT(ADDRESS(Savings_Min_Row,COLUMN())&amp;":"&amp;ADDRESS(Savings_Max_Row,COLUMN())))</f>
        <v>0</v>
      </c>
      <c r="AY81" s="20" cm="1">
        <f t="array" aca="1" ref="AY81" ca="1">SUM(INDIRECT(ADDRESS(Savings_Min_Row,COLUMN())&amp;":"&amp;ADDRESS(Savings_Max_Row,COLUMN())))</f>
        <v>0</v>
      </c>
      <c r="AZ81" s="20" cm="1">
        <f t="array" aca="1" ref="AZ81" ca="1">SUM(INDIRECT(ADDRESS(Savings_Min_Row,COLUMN())&amp;":"&amp;ADDRESS(Savings_Max_Row,COLUMN())))</f>
        <v>0</v>
      </c>
      <c r="BA81" s="20" cm="1">
        <f t="array" aca="1" ref="BA81" ca="1">SUM(INDIRECT(ADDRESS(Savings_Min_Row,COLUMN())&amp;":"&amp;ADDRESS(Savings_Max_Row,COLUMN())))</f>
        <v>0</v>
      </c>
      <c r="BB81" s="20" cm="1">
        <f t="array" aca="1" ref="BB81" ca="1">SUM(INDIRECT(ADDRESS(Savings_Min_Row,COLUMN())&amp;":"&amp;ADDRESS(Savings_Max_Row,COLUMN())))</f>
        <v>0</v>
      </c>
      <c r="BC81" s="20" cm="1">
        <f t="array" aca="1" ref="BC81" ca="1">SUM(INDIRECT(ADDRESS(Savings_Min_Row,COLUMN())&amp;":"&amp;ADDRESS(Savings_Max_Row,COLUMN())))</f>
        <v>0</v>
      </c>
      <c r="BD81" s="20" cm="1">
        <f t="array" aca="1" ref="BD81" ca="1">SUM(INDIRECT(ADDRESS(Savings_Min_Row,COLUMN())&amp;":"&amp;ADDRESS(Savings_Max_Row,COLUMN())))</f>
        <v>0</v>
      </c>
      <c r="BE81" s="20" cm="1">
        <f t="array" aca="1" ref="BE81" ca="1">SUM(INDIRECT(ADDRESS(Savings_Min_Row,COLUMN())&amp;":"&amp;ADDRESS(Savings_Max_Row,COLUMN())))</f>
        <v>0</v>
      </c>
      <c r="BF81" s="20" cm="1">
        <f t="array" aca="1" ref="BF81" ca="1">SUM(INDIRECT(ADDRESS(Savings_Min_Row,COLUMN())&amp;":"&amp;ADDRESS(Savings_Max_Row,COLUMN())))</f>
        <v>0</v>
      </c>
      <c r="BG81" s="20" cm="1">
        <f t="array" aca="1" ref="BG81" ca="1">SUM(INDIRECT(ADDRESS(Savings_Min_Row,COLUMN())&amp;":"&amp;ADDRESS(Savings_Max_Row,COLUMN())))</f>
        <v>0</v>
      </c>
      <c r="BI81" s="20" cm="1">
        <f t="array" aca="1" ref="BI81" ca="1">SUM(INDIRECT(ADDRESS(Savings_Min_Row,COLUMN())&amp;":"&amp;ADDRESS(Savings_Max_Row,COLUMN())))</f>
        <v>0</v>
      </c>
      <c r="BJ81" s="20" cm="1">
        <f t="array" aca="1" ref="BJ81" ca="1">SUM(INDIRECT(ADDRESS(Savings_Min_Row,COLUMN())&amp;":"&amp;ADDRESS(Savings_Max_Row,COLUMN())))</f>
        <v>0</v>
      </c>
      <c r="BK81" s="20" cm="1">
        <f t="array" aca="1" ref="BK81" ca="1">SUM(INDIRECT(ADDRESS(Savings_Min_Row,COLUMN())&amp;":"&amp;ADDRESS(Savings_Max_Row,COLUMN())))</f>
        <v>0</v>
      </c>
      <c r="BL81" s="20" cm="1">
        <f t="array" aca="1" ref="BL81" ca="1">SUM(INDIRECT(ADDRESS(Savings_Min_Row,COLUMN())&amp;":"&amp;ADDRESS(Savings_Max_Row,COLUMN())))</f>
        <v>0</v>
      </c>
      <c r="BM81" s="20" cm="1">
        <f t="array" aca="1" ref="BM81" ca="1">SUM(INDIRECT(ADDRESS(Savings_Min_Row,COLUMN())&amp;":"&amp;ADDRESS(Savings_Max_Row,COLUMN())))</f>
        <v>0</v>
      </c>
      <c r="BN81" s="20" cm="1">
        <f t="array" aca="1" ref="BN81" ca="1">SUM(INDIRECT(ADDRESS(Savings_Min_Row,COLUMN())&amp;":"&amp;ADDRESS(Savings_Max_Row,COLUMN())))</f>
        <v>0</v>
      </c>
      <c r="BO81" s="20" cm="1">
        <f t="array" aca="1" ref="BO81" ca="1">SUM(INDIRECT(ADDRESS(Savings_Min_Row,COLUMN())&amp;":"&amp;ADDRESS(Savings_Max_Row,COLUMN())))</f>
        <v>0</v>
      </c>
      <c r="BP81" s="20" cm="1">
        <f t="array" aca="1" ref="BP81" ca="1">SUM(INDIRECT(ADDRESS(Savings_Min_Row,COLUMN())&amp;":"&amp;ADDRESS(Savings_Max_Row,COLUMN())))</f>
        <v>0</v>
      </c>
      <c r="BQ81" s="20" cm="1">
        <f t="array" aca="1" ref="BQ81" ca="1">SUM(INDIRECT(ADDRESS(Savings_Min_Row,COLUMN())&amp;":"&amp;ADDRESS(Savings_Max_Row,COLUMN())))</f>
        <v>0</v>
      </c>
      <c r="BR81" s="20" cm="1">
        <f t="array" aca="1" ref="BR81" ca="1">SUM(INDIRECT(ADDRESS(Savings_Min_Row,COLUMN())&amp;":"&amp;ADDRESS(Savings_Max_Row,COLUMN())))</f>
        <v>0</v>
      </c>
      <c r="BS81" s="20" cm="1">
        <f t="array" aca="1" ref="BS81" ca="1">SUM(INDIRECT(ADDRESS(Savings_Min_Row,COLUMN())&amp;":"&amp;ADDRESS(Savings_Max_Row,COLUMN())))</f>
        <v>0</v>
      </c>
      <c r="BT81" s="20" cm="1">
        <f t="array" aca="1" ref="BT81" ca="1">SUM(INDIRECT(ADDRESS(Savings_Min_Row,COLUMN())&amp;":"&amp;ADDRESS(Savings_Max_Row,COLUMN())))</f>
        <v>0</v>
      </c>
      <c r="BU81" s="20" cm="1">
        <f t="array" aca="1" ref="BU81" ca="1">SUM(INDIRECT(ADDRESS(Savings_Min_Row,COLUMN())&amp;":"&amp;ADDRESS(Savings_Max_Row,COLUMN())))</f>
        <v>0</v>
      </c>
      <c r="BW81" s="20" cm="1">
        <f t="array" aca="1" ref="BW81" ca="1">SUM(INDIRECT(ADDRESS(Savings_Min_Row,COLUMN())&amp;":"&amp;ADDRESS(Savings_Max_Row,COLUMN())))</f>
        <v>0</v>
      </c>
      <c r="BX81" s="20" cm="1">
        <f t="array" aca="1" ref="BX81" ca="1">SUM(INDIRECT(ADDRESS(Savings_Min_Row,COLUMN())&amp;":"&amp;ADDRESS(Savings_Max_Row,COLUMN())))</f>
        <v>0</v>
      </c>
      <c r="BY81" s="20" cm="1">
        <f t="array" aca="1" ref="BY81" ca="1">SUM(INDIRECT(ADDRESS(Savings_Min_Row,COLUMN())&amp;":"&amp;ADDRESS(Savings_Max_Row,COLUMN())))</f>
        <v>0</v>
      </c>
      <c r="BZ81" s="20" cm="1">
        <f t="array" aca="1" ref="BZ81" ca="1">SUM(INDIRECT(ADDRESS(Savings_Min_Row,COLUMN())&amp;":"&amp;ADDRESS(Savings_Max_Row,COLUMN())))</f>
        <v>0</v>
      </c>
      <c r="CA81" s="20" cm="1">
        <f t="array" aca="1" ref="CA81" ca="1">SUM(INDIRECT(ADDRESS(Savings_Min_Row,COLUMN())&amp;":"&amp;ADDRESS(Savings_Max_Row,COLUMN())))</f>
        <v>0</v>
      </c>
      <c r="CB81" s="20" cm="1">
        <f t="array" aca="1" ref="CB81" ca="1">SUM(INDIRECT(ADDRESS(Savings_Min_Row,COLUMN())&amp;":"&amp;ADDRESS(Savings_Max_Row,COLUMN())))</f>
        <v>0</v>
      </c>
      <c r="CC81" s="20" cm="1">
        <f t="array" aca="1" ref="CC81" ca="1">SUM(INDIRECT(ADDRESS(Savings_Min_Row,COLUMN())&amp;":"&amp;ADDRESS(Savings_Max_Row,COLUMN())))</f>
        <v>0</v>
      </c>
      <c r="CD81" s="20" cm="1">
        <f t="array" aca="1" ref="CD81" ca="1">SUM(INDIRECT(ADDRESS(Savings_Min_Row,COLUMN())&amp;":"&amp;ADDRESS(Savings_Max_Row,COLUMN())))</f>
        <v>0</v>
      </c>
      <c r="CE81" s="20" cm="1">
        <f t="array" aca="1" ref="CE81" ca="1">SUM(INDIRECT(ADDRESS(Savings_Min_Row,COLUMN())&amp;":"&amp;ADDRESS(Savings_Max_Row,COLUMN())))</f>
        <v>0</v>
      </c>
      <c r="CF81" s="20" cm="1">
        <f t="array" aca="1" ref="CF81" ca="1">SUM(INDIRECT(ADDRESS(Savings_Min_Row,COLUMN())&amp;":"&amp;ADDRESS(Savings_Max_Row,COLUMN())))</f>
        <v>0</v>
      </c>
      <c r="CG81" s="20" cm="1">
        <f t="array" aca="1" ref="CG81" ca="1">SUM(INDIRECT(ADDRESS(Savings_Min_Row,COLUMN())&amp;":"&amp;ADDRESS(Savings_Max_Row,COLUMN())))</f>
        <v>0</v>
      </c>
      <c r="CH81" s="20" cm="1">
        <f t="array" aca="1" ref="CH81" ca="1">SUM(INDIRECT(ADDRESS(Savings_Min_Row,COLUMN())&amp;":"&amp;ADDRESS(Savings_Max_Row,COLUMN())))</f>
        <v>0</v>
      </c>
      <c r="CI81" s="20" cm="1">
        <f t="array" aca="1" ref="CI81" ca="1">SUM(INDIRECT(ADDRESS(Savings_Min_Row,COLUMN())&amp;":"&amp;ADDRESS(Savings_Max_Row,COLUMN())))</f>
        <v>0</v>
      </c>
    </row>
    <row r="85" spans="3:87" x14ac:dyDescent="0.25">
      <c r="Q85" s="31"/>
      <c r="AE85" s="31"/>
      <c r="AS85" s="31"/>
      <c r="BG85" s="31"/>
      <c r="BU85" s="31"/>
      <c r="CI85" s="31"/>
    </row>
    <row r="86" spans="3:87" x14ac:dyDescent="0.25">
      <c r="Q86" s="31"/>
      <c r="AE86" s="31"/>
      <c r="AS86" s="31"/>
      <c r="BG86" s="31"/>
      <c r="BU86" s="31"/>
      <c r="CI86" s="31"/>
    </row>
    <row r="87" spans="3:87" x14ac:dyDescent="0.25">
      <c r="Q87" s="31"/>
      <c r="AE87" s="31"/>
      <c r="AS87" s="31"/>
      <c r="BG87" s="31"/>
      <c r="BU87" s="31"/>
      <c r="CI87" s="31"/>
    </row>
    <row r="88" spans="3:87" x14ac:dyDescent="0.25">
      <c r="Q88" s="31"/>
      <c r="AE88" s="31"/>
      <c r="AS88" s="31"/>
      <c r="BG88" s="31"/>
      <c r="BU88" s="31"/>
      <c r="CI88" s="31"/>
    </row>
    <row r="89" spans="3:87" x14ac:dyDescent="0.25">
      <c r="Q89" s="31"/>
      <c r="AE89" s="31"/>
      <c r="AS89" s="31"/>
      <c r="BG89" s="31"/>
      <c r="BU89" s="31"/>
      <c r="CI89" s="31"/>
    </row>
    <row r="90" spans="3:87" x14ac:dyDescent="0.25">
      <c r="Q90" s="31"/>
      <c r="AE90" s="31"/>
      <c r="AS90" s="31"/>
      <c r="BG90" s="31"/>
      <c r="BU90" s="31"/>
      <c r="CI90" s="31"/>
    </row>
    <row r="91" spans="3:87" x14ac:dyDescent="0.25">
      <c r="Q91" s="31"/>
      <c r="AE91" s="31"/>
      <c r="AS91" s="31"/>
      <c r="BG91" s="31"/>
      <c r="BU91" s="31"/>
      <c r="CI91" s="31"/>
    </row>
    <row r="92" spans="3:87" x14ac:dyDescent="0.25">
      <c r="Q92" s="31"/>
      <c r="AE92" s="31"/>
      <c r="AS92" s="31"/>
      <c r="BG92" s="31"/>
      <c r="BU92" s="31"/>
      <c r="CI92" s="31"/>
    </row>
    <row r="93" spans="3:87" x14ac:dyDescent="0.25">
      <c r="F93" t="s">
        <v>52</v>
      </c>
      <c r="Q93" s="31"/>
      <c r="AE93" s="31"/>
      <c r="AS93" s="31"/>
      <c r="BG93" s="31"/>
      <c r="BU93" s="31"/>
      <c r="CI93" s="31"/>
    </row>
    <row r="94" spans="3:87" x14ac:dyDescent="0.25">
      <c r="Q94" s="31"/>
      <c r="AE94" s="31"/>
      <c r="AS94" s="31"/>
      <c r="BG94" s="31"/>
      <c r="BU94" s="31"/>
      <c r="CI94" s="31"/>
    </row>
    <row r="95" spans="3:87" x14ac:dyDescent="0.25">
      <c r="Q95" s="31"/>
      <c r="AE95" s="31"/>
      <c r="AS95" s="31"/>
      <c r="BG95" s="31"/>
      <c r="BU95" s="31"/>
      <c r="CI95" s="31"/>
    </row>
    <row r="96" spans="3:87" x14ac:dyDescent="0.25">
      <c r="Q96" s="31"/>
      <c r="AE96" s="31"/>
      <c r="AS96" s="31"/>
      <c r="BG96" s="31"/>
      <c r="BU96" s="31"/>
      <c r="CI96" s="31"/>
    </row>
  </sheetData>
  <mergeCells count="7">
    <mergeCell ref="AU5:BG5"/>
    <mergeCell ref="BI5:BU5"/>
    <mergeCell ref="BW5:CI5"/>
    <mergeCell ref="E5:Q5"/>
    <mergeCell ref="C1:C2"/>
    <mergeCell ref="S5:AE5"/>
    <mergeCell ref="AG5:AS5"/>
  </mergeCells>
  <phoneticPr fontId="2" type="noConversion"/>
  <conditionalFormatting sqref="C10:C12 S10:AE19 AG10:AS19 AU10:BG19 BI10:BU19 BW10:CI19 E10:Q19">
    <cfRule type="expression" dxfId="116" priority="6">
      <formula>ROW(A10) &lt;= Income_Max_Row</formula>
    </cfRule>
  </conditionalFormatting>
  <conditionalFormatting sqref="S23:AE67 AG23:AS67 AU23:BG67 BI23:BU67 BW23:CI67 C23:C43 E23:Q67">
    <cfRule type="expression" dxfId="115" priority="5">
      <formula>ROW(A23) &lt;= Expenses_Max_Row</formula>
    </cfRule>
  </conditionalFormatting>
  <conditionalFormatting sqref="C71 S71:AE80 AG71:AS80 AU71:BG80 BI71:BU80 BW71:CI80 E71:Q80">
    <cfRule type="expression" dxfId="114" priority="4">
      <formula>ROW(A71) &lt;= Savings_Max_Row</formula>
    </cfRule>
  </conditionalFormatting>
  <conditionalFormatting sqref="E6:Q7 S6:AE7 AG6:AS7 AU6:BG7 BI6:BU7 BW6:CI7">
    <cfRule type="expression" dxfId="113" priority="1" stopIfTrue="1">
      <formula>AND(E$20=0, E$68=0, E$81=0)</formula>
    </cfRule>
    <cfRule type="expression" dxfId="112" priority="2" stopIfTrue="1">
      <formula>E$7 =0</formula>
    </cfRule>
    <cfRule type="expression" dxfId="111" priority="3">
      <formula>E$7 &lt;0</formula>
    </cfRule>
  </conditionalFormatting>
  <pageMargins left="0.25" right="0.25" top="0.75" bottom="0.75" header="0.3" footer="0.3"/>
  <pageSetup paperSize="9" scale="17" orientation="landscape" r:id="rId1"/>
  <rowBreaks count="2" manualBreakCount="2">
    <brk id="21" max="86" man="1"/>
    <brk id="69" max="86" man="1"/>
  </rowBreaks>
  <colBreaks count="1" manualBreakCount="1">
    <brk id="12" max="1048575" man="1"/>
  </colBreaks>
  <tableParts count="3">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54A92-258F-47D1-A863-3B7DB2CCD34D}">
  <sheetPr codeName="Sheet1">
    <pageSetUpPr fitToPage="1"/>
  </sheetPr>
  <dimension ref="A1:S267"/>
  <sheetViews>
    <sheetView showGridLines="0" tabSelected="1" zoomScaleNormal="100" workbookViewId="0">
      <pane ySplit="11" topLeftCell="A125" activePane="bottomLeft" state="frozen"/>
      <selection activeCell="G1" sqref="G1"/>
      <selection pane="bottomLeft" activeCell="F3" sqref="F3"/>
    </sheetView>
  </sheetViews>
  <sheetFormatPr defaultRowHeight="15" x14ac:dyDescent="0.25"/>
  <cols>
    <col min="1" max="2" width="2.140625" customWidth="1"/>
    <col min="3" max="3" width="21.42578125" style="48" customWidth="1"/>
    <col min="4" max="4" width="17.28515625" style="48" bestFit="1" customWidth="1"/>
    <col min="5" max="5" width="21.42578125" style="48" customWidth="1"/>
    <col min="6" max="6" width="35.7109375" style="48" customWidth="1"/>
    <col min="7" max="7" width="36.42578125" style="48" bestFit="1" customWidth="1"/>
    <col min="8" max="10" width="21.42578125" style="48" customWidth="1"/>
    <col min="11" max="11" width="75.140625" style="103" customWidth="1"/>
    <col min="12" max="12" width="13.28515625" style="103" bestFit="1" customWidth="1"/>
    <col min="13" max="13" width="15.28515625" style="103" bestFit="1" customWidth="1"/>
    <col min="14" max="14" width="13.28515625" style="103" bestFit="1" customWidth="1"/>
    <col min="15" max="15" width="21.42578125" customWidth="1"/>
  </cols>
  <sheetData>
    <row r="1" spans="1:19" s="34" customFormat="1" ht="15" customHeight="1" x14ac:dyDescent="0.5">
      <c r="A1" s="35"/>
      <c r="C1" s="110" t="str" cm="1">
        <f t="array" aca="1" ref="C1" ca="1">MID(CELL("filename", C7), FIND("]", CELL("filename", C7)) + 1, 255)</f>
        <v>Budget Tracking</v>
      </c>
      <c r="D1" s="110"/>
      <c r="E1" s="110"/>
      <c r="F1" s="110"/>
      <c r="G1" s="110"/>
      <c r="H1" s="110"/>
      <c r="I1" s="110"/>
    </row>
    <row r="2" spans="1:19" s="34" customFormat="1" x14ac:dyDescent="0.25">
      <c r="C2" s="110"/>
      <c r="D2" s="110"/>
      <c r="E2" s="110"/>
      <c r="F2" s="110"/>
      <c r="G2" s="110"/>
      <c r="H2" s="110"/>
      <c r="I2" s="110"/>
    </row>
    <row r="3" spans="1:19" x14ac:dyDescent="0.25">
      <c r="C3"/>
      <c r="D3"/>
      <c r="E3"/>
      <c r="F3"/>
      <c r="G3"/>
      <c r="H3"/>
      <c r="I3"/>
      <c r="J3"/>
      <c r="K3"/>
      <c r="L3"/>
      <c r="M3"/>
      <c r="N3"/>
    </row>
    <row r="4" spans="1:19" x14ac:dyDescent="0.25">
      <c r="C4"/>
      <c r="D4"/>
      <c r="E4"/>
      <c r="F4"/>
      <c r="G4"/>
      <c r="H4"/>
      <c r="I4"/>
      <c r="J4"/>
      <c r="K4"/>
      <c r="L4"/>
      <c r="M4"/>
      <c r="N4"/>
    </row>
    <row r="5" spans="1:19" x14ac:dyDescent="0.25">
      <c r="C5"/>
      <c r="D5"/>
      <c r="E5"/>
      <c r="F5"/>
      <c r="G5"/>
      <c r="H5"/>
      <c r="I5"/>
      <c r="J5"/>
      <c r="K5"/>
      <c r="L5"/>
      <c r="M5"/>
      <c r="N5"/>
    </row>
    <row r="6" spans="1:19" x14ac:dyDescent="0.25">
      <c r="C6"/>
      <c r="D6"/>
      <c r="E6"/>
      <c r="F6"/>
      <c r="G6"/>
      <c r="H6"/>
      <c r="I6"/>
      <c r="J6"/>
      <c r="K6"/>
      <c r="L6"/>
      <c r="M6"/>
      <c r="N6"/>
    </row>
    <row r="7" spans="1:19" x14ac:dyDescent="0.25">
      <c r="C7"/>
      <c r="D7"/>
      <c r="E7"/>
      <c r="F7"/>
      <c r="G7"/>
      <c r="H7"/>
      <c r="I7"/>
      <c r="J7"/>
      <c r="K7"/>
      <c r="L7"/>
      <c r="M7"/>
      <c r="N7"/>
    </row>
    <row r="8" spans="1:19" x14ac:dyDescent="0.25">
      <c r="C8"/>
      <c r="D8"/>
      <c r="E8"/>
      <c r="F8"/>
      <c r="G8"/>
      <c r="H8"/>
      <c r="I8"/>
      <c r="J8"/>
      <c r="K8"/>
      <c r="L8"/>
      <c r="M8"/>
      <c r="N8"/>
    </row>
    <row r="9" spans="1:19" x14ac:dyDescent="0.25">
      <c r="C9"/>
      <c r="D9"/>
      <c r="E9"/>
      <c r="F9"/>
      <c r="G9"/>
      <c r="H9"/>
      <c r="I9"/>
      <c r="J9"/>
      <c r="K9"/>
      <c r="L9"/>
      <c r="M9"/>
      <c r="N9"/>
    </row>
    <row r="10" spans="1:19" x14ac:dyDescent="0.25">
      <c r="C10"/>
      <c r="D10"/>
      <c r="E10"/>
      <c r="F10"/>
      <c r="G10"/>
      <c r="H10"/>
      <c r="I10"/>
      <c r="J10"/>
      <c r="K10"/>
      <c r="L10"/>
      <c r="M10"/>
      <c r="N10"/>
    </row>
    <row r="11" spans="1:19" x14ac:dyDescent="0.25">
      <c r="C11" s="36" t="s">
        <v>53</v>
      </c>
      <c r="D11" s="36" t="s">
        <v>54</v>
      </c>
      <c r="E11" s="61" t="s">
        <v>55</v>
      </c>
      <c r="F11" s="36" t="s">
        <v>56</v>
      </c>
      <c r="G11" s="36" t="s">
        <v>57</v>
      </c>
      <c r="H11" s="36" t="s">
        <v>58</v>
      </c>
      <c r="I11" s="36" t="s">
        <v>59</v>
      </c>
      <c r="J11" s="36" t="s">
        <v>60</v>
      </c>
      <c r="K11" s="36" t="s">
        <v>61</v>
      </c>
      <c r="L11" s="39" t="s">
        <v>62</v>
      </c>
      <c r="M11" s="39" t="s">
        <v>63</v>
      </c>
      <c r="N11" s="39" t="s">
        <v>64</v>
      </c>
      <c r="O11" s="44" t="s">
        <v>65</v>
      </c>
      <c r="Q11" s="60"/>
    </row>
    <row r="12" spans="1:19" hidden="1" x14ac:dyDescent="0.25">
      <c r="C12" s="38">
        <v>45992</v>
      </c>
      <c r="D12" s="38" t="s">
        <v>16</v>
      </c>
      <c r="E12" s="37" t="s">
        <v>20</v>
      </c>
      <c r="F12" s="37" t="s">
        <v>23</v>
      </c>
      <c r="G12" s="37"/>
      <c r="H12" s="84">
        <v>588</v>
      </c>
      <c r="I12" s="85">
        <v>220000</v>
      </c>
      <c r="J12" s="86">
        <v>2404.0700000000002</v>
      </c>
      <c r="K12" s="47"/>
      <c r="L12" s="40" cm="1">
        <f t="array" ref="L12">SUMPRODUCT(Tracking[Amount $],--(Tracking[Date]&lt;=Tracking[[#This Row],[Date]]),(Tracking[Type]&lt;&gt;"Income") * (-1) + (Tracking[Type]="Income"), --(Tracking[Payment Type] = "Cash"))</f>
        <v>267</v>
      </c>
      <c r="M12" s="40" cm="1">
        <f t="array" ref="M12">SUMPRODUCT(Tracking[Amount LBP],--(Tracking[Date]&lt;=Tracking[[#This Row],[Date]]),(Tracking[Type]&lt;&gt;"Income") * (-1) + (Tracking[Type]="Income"), --(Tracking[Payment Type] = "Cash"))</f>
        <v>95000</v>
      </c>
      <c r="N12" s="40" cm="1">
        <f t="array" ref="N12">SUMPRODUCT(Tracking[Amount €],--(Tracking[Date]&lt;=Tracking[[#This Row],[Date]]),(Tracking[Type]&lt;&gt;"Income") * (-1) + (Tracking[Type]="Income"), --(Tracking[Payment Type] = "Cash"))</f>
        <v>2404.0700000000002</v>
      </c>
      <c r="O12" s="43" cm="1">
        <f t="array" ref="O12">IF(AND(Tracking[[#This Row],[Type]]="Income", Shift_Late_Income_Status="Active", DAY(Tracking[[#This Row],[Date]])&gt;=Shift_Late_Income_Starting_Day),
DATE(YEAR(Tracking[[#This Row],[Date]]), MONTH(Tracking[[#This Row],[Date]])+1, 1),
Tracking[[#This Row],[Date]])</f>
        <v>45992</v>
      </c>
      <c r="Q12" s="60"/>
      <c r="S12" s="60"/>
    </row>
    <row r="13" spans="1:19" hidden="1" x14ac:dyDescent="0.25">
      <c r="C13" s="38">
        <v>45992</v>
      </c>
      <c r="D13" s="38" t="s">
        <v>16</v>
      </c>
      <c r="E13" s="37" t="s">
        <v>27</v>
      </c>
      <c r="F13" s="37" t="s">
        <v>28</v>
      </c>
      <c r="G13" s="37" t="s">
        <v>66</v>
      </c>
      <c r="H13" s="84">
        <v>39</v>
      </c>
      <c r="I13" s="85">
        <v>30000</v>
      </c>
      <c r="J13" s="86"/>
      <c r="K13" s="47"/>
      <c r="L13" s="40" cm="1">
        <f t="array" ref="L13">SUMPRODUCT(Tracking[Amount $],--(Tracking[Date]&lt;=Tracking[[#This Row],[Date]]),(Tracking[Type]&lt;&gt;"Income") * (-1) + (Tracking[Type]="Income"), --(Tracking[Payment Type] = "Cash"))</f>
        <v>267</v>
      </c>
      <c r="M13" s="40" cm="1">
        <f t="array" ref="M13">SUMPRODUCT(Tracking[Amount LBP],--(Tracking[Date]&lt;=Tracking[[#This Row],[Date]]),(Tracking[Type]&lt;&gt;"Income") * (-1) + (Tracking[Type]="Income"), --(Tracking[Payment Type] = "Cash"))</f>
        <v>95000</v>
      </c>
      <c r="N13" s="40" cm="1">
        <f t="array" ref="N13">SUMPRODUCT(Tracking[Amount €],--(Tracking[Date]&lt;=Tracking[[#This Row],[Date]]),(Tracking[Type]&lt;&gt;"Income") * (-1) + (Tracking[Type]="Income"), --(Tracking[Payment Type] = "Cash"))</f>
        <v>2404.0700000000002</v>
      </c>
      <c r="O13" s="43" cm="1">
        <f t="array" ref="O13">IF(AND(Tracking[[#This Row],[Type]]="Income", Shift_Late_Income_Status="Active", DAY(Tracking[[#This Row],[Date]])&gt;=Shift_Late_Income_Starting_Day),
DATE(YEAR(Tracking[[#This Row],[Date]]), MONTH(Tracking[[#This Row],[Date]])+1, 1),
Tracking[[#This Row],[Date]])</f>
        <v>45992</v>
      </c>
    </row>
    <row r="14" spans="1:19" hidden="1" x14ac:dyDescent="0.25">
      <c r="C14" s="38">
        <v>45992</v>
      </c>
      <c r="D14" s="38" t="s">
        <v>16</v>
      </c>
      <c r="E14" s="37" t="s">
        <v>27</v>
      </c>
      <c r="F14" s="37" t="s">
        <v>30</v>
      </c>
      <c r="G14" s="37" t="s">
        <v>67</v>
      </c>
      <c r="H14" s="84">
        <f>84-50</f>
        <v>34</v>
      </c>
      <c r="I14" s="85"/>
      <c r="J14" s="86"/>
      <c r="K14" s="47"/>
      <c r="L14" s="40" cm="1">
        <f t="array" ref="L14">SUMPRODUCT(Tracking[Amount $],--(Tracking[Date]&lt;=Tracking[[#This Row],[Date]]),(Tracking[Type]&lt;&gt;"Income") * (-1) + (Tracking[Type]="Income"), --(Tracking[Payment Type] = "Cash"))</f>
        <v>267</v>
      </c>
      <c r="M14" s="40" cm="1">
        <f t="array" ref="M14">SUMPRODUCT(Tracking[Amount LBP],--(Tracking[Date]&lt;=Tracking[[#This Row],[Date]]),(Tracking[Type]&lt;&gt;"Income") * (-1) + (Tracking[Type]="Income"), --(Tracking[Payment Type] = "Cash"))</f>
        <v>95000</v>
      </c>
      <c r="N14" s="40" cm="1">
        <f t="array" ref="N14">SUMPRODUCT(Tracking[Amount €],--(Tracking[Date]&lt;=Tracking[[#This Row],[Date]]),(Tracking[Type]&lt;&gt;"Income") * (-1) + (Tracking[Type]="Income"), --(Tracking[Payment Type] = "Cash"))</f>
        <v>2404.0700000000002</v>
      </c>
      <c r="O14" s="43" cm="1">
        <f t="array" ref="O14">IF(AND(Tracking[[#This Row],[Type]]="Income", Shift_Late_Income_Status="Active", DAY(Tracking[[#This Row],[Date]])&gt;=Shift_Late_Income_Starting_Day),
DATE(YEAR(Tracking[[#This Row],[Date]]), MONTH(Tracking[[#This Row],[Date]])+1, 1),
Tracking[[#This Row],[Date]])</f>
        <v>45992</v>
      </c>
    </row>
    <row r="15" spans="1:19" hidden="1" x14ac:dyDescent="0.25">
      <c r="C15" s="38">
        <v>45992</v>
      </c>
      <c r="D15" s="38" t="s">
        <v>16</v>
      </c>
      <c r="E15" s="37" t="s">
        <v>27</v>
      </c>
      <c r="F15" s="37" t="s">
        <v>28</v>
      </c>
      <c r="G15" s="37" t="s">
        <v>68</v>
      </c>
      <c r="H15" s="84">
        <v>5</v>
      </c>
      <c r="I15" s="85">
        <v>-100000</v>
      </c>
      <c r="J15" s="86"/>
      <c r="K15" s="47"/>
      <c r="L15" s="40" cm="1">
        <f t="array" ref="L15">SUMPRODUCT(Tracking[Amount $],--(Tracking[Date]&lt;=Tracking[[#This Row],[Date]]),(Tracking[Type]&lt;&gt;"Income") * (-1) + (Tracking[Type]="Income"), --(Tracking[Payment Type] = "Cash"))</f>
        <v>267</v>
      </c>
      <c r="M15" s="40" cm="1">
        <f t="array" ref="M15">SUMPRODUCT(Tracking[Amount LBP],--(Tracking[Date]&lt;=Tracking[[#This Row],[Date]]),(Tracking[Type]&lt;&gt;"Income") * (-1) + (Tracking[Type]="Income"), --(Tracking[Payment Type] = "Cash"))</f>
        <v>95000</v>
      </c>
      <c r="N15" s="40" cm="1">
        <f t="array" ref="N15">SUMPRODUCT(Tracking[Amount €],--(Tracking[Date]&lt;=Tracking[[#This Row],[Date]]),(Tracking[Type]&lt;&gt;"Income") * (-1) + (Tracking[Type]="Income"), --(Tracking[Payment Type] = "Cash"))</f>
        <v>2404.0700000000002</v>
      </c>
      <c r="O15" s="43" cm="1">
        <f t="array" ref="O15">IF(AND(Tracking[[#This Row],[Type]]="Income", Shift_Late_Income_Status="Active", DAY(Tracking[[#This Row],[Date]])&gt;=Shift_Late_Income_Starting_Day),
DATE(YEAR(Tracking[[#This Row],[Date]]), MONTH(Tracking[[#This Row],[Date]])+1, 1),
Tracking[[#This Row],[Date]])</f>
        <v>45992</v>
      </c>
      <c r="P15" s="60"/>
    </row>
    <row r="16" spans="1:19" hidden="1" x14ac:dyDescent="0.25">
      <c r="C16" s="38">
        <v>45992</v>
      </c>
      <c r="D16" s="38" t="s">
        <v>16</v>
      </c>
      <c r="E16" s="37" t="s">
        <v>27</v>
      </c>
      <c r="F16" s="37" t="s">
        <v>28</v>
      </c>
      <c r="G16" s="37" t="s">
        <v>69</v>
      </c>
      <c r="H16" s="84"/>
      <c r="I16" s="85">
        <v>230000</v>
      </c>
      <c r="J16" s="86"/>
      <c r="K16" s="47"/>
      <c r="L16" s="40" cm="1">
        <f t="array" ref="L16">SUMPRODUCT(Tracking[Amount $],--(Tracking[Date]&lt;=Tracking[[#This Row],[Date]]),(Tracking[Type]&lt;&gt;"Income") * (-1) + (Tracking[Type]="Income"), --(Tracking[Payment Type] = "Cash"))</f>
        <v>267</v>
      </c>
      <c r="M16" s="40" cm="1">
        <f t="array" ref="M16">SUMPRODUCT(Tracking[Amount LBP],--(Tracking[Date]&lt;=Tracking[[#This Row],[Date]]),(Tracking[Type]&lt;&gt;"Income") * (-1) + (Tracking[Type]="Income"), --(Tracking[Payment Type] = "Cash"))</f>
        <v>95000</v>
      </c>
      <c r="N16" s="40" cm="1">
        <f t="array" ref="N16">SUMPRODUCT(Tracking[Amount €],--(Tracking[Date]&lt;=Tracking[[#This Row],[Date]]),(Tracking[Type]&lt;&gt;"Income") * (-1) + (Tracking[Type]="Income"), --(Tracking[Payment Type] = "Cash"))</f>
        <v>2404.0700000000002</v>
      </c>
      <c r="O16" s="43" cm="1">
        <f t="array" ref="O16">IF(AND(Tracking[[#This Row],[Type]]="Income", Shift_Late_Income_Status="Active", DAY(Tracking[[#This Row],[Date]])&gt;=Shift_Late_Income_Starting_Day),
DATE(YEAR(Tracking[[#This Row],[Date]]), MONTH(Tracking[[#This Row],[Date]])+1, 1),
Tracking[[#This Row],[Date]])</f>
        <v>45992</v>
      </c>
    </row>
    <row r="17" spans="3:17" hidden="1" x14ac:dyDescent="0.25">
      <c r="C17" s="38">
        <v>45992</v>
      </c>
      <c r="D17" s="38" t="s">
        <v>16</v>
      </c>
      <c r="E17" s="37" t="s">
        <v>27</v>
      </c>
      <c r="F17" s="37" t="s">
        <v>28</v>
      </c>
      <c r="G17" s="37" t="s">
        <v>69</v>
      </c>
      <c r="H17" s="84"/>
      <c r="I17" s="85">
        <v>55000</v>
      </c>
      <c r="J17" s="86"/>
      <c r="K17" s="47"/>
      <c r="L17" s="40" cm="1">
        <f t="array" ref="L17">SUMPRODUCT(Tracking[Amount $],--(Tracking[Date]&lt;=Tracking[[#This Row],[Date]]),(Tracking[Type]&lt;&gt;"Income") * (-1) + (Tracking[Type]="Income"), --(Tracking[Payment Type] = "Cash"))</f>
        <v>267</v>
      </c>
      <c r="M17" s="40" cm="1">
        <f t="array" ref="M17">SUMPRODUCT(Tracking[Amount LBP],--(Tracking[Date]&lt;=Tracking[[#This Row],[Date]]),(Tracking[Type]&lt;&gt;"Income") * (-1) + (Tracking[Type]="Income"), --(Tracking[Payment Type] = "Cash"))</f>
        <v>95000</v>
      </c>
      <c r="N17" s="40" cm="1">
        <f t="array" ref="N17">SUMPRODUCT(Tracking[Amount €],--(Tracking[Date]&lt;=Tracking[[#This Row],[Date]]),(Tracking[Type]&lt;&gt;"Income") * (-1) + (Tracking[Type]="Income"), --(Tracking[Payment Type] = "Cash"))</f>
        <v>2404.0700000000002</v>
      </c>
      <c r="O17" s="43" cm="1">
        <f t="array" ref="O17">IF(AND(Tracking[[#This Row],[Type]]="Income", Shift_Late_Income_Status="Active", DAY(Tracking[[#This Row],[Date]])&gt;=Shift_Late_Income_Starting_Day),
DATE(YEAR(Tracking[[#This Row],[Date]]), MONTH(Tracking[[#This Row],[Date]])+1, 1),
Tracking[[#This Row],[Date]])</f>
        <v>45992</v>
      </c>
    </row>
    <row r="18" spans="3:17" hidden="1" x14ac:dyDescent="0.25">
      <c r="C18" s="38">
        <v>45992</v>
      </c>
      <c r="D18" s="38" t="s">
        <v>16</v>
      </c>
      <c r="E18" s="37" t="s">
        <v>27</v>
      </c>
      <c r="F18" s="37" t="s">
        <v>29</v>
      </c>
      <c r="G18" s="37" t="s">
        <v>70</v>
      </c>
      <c r="H18" s="84">
        <v>7</v>
      </c>
      <c r="I18" s="85"/>
      <c r="J18" s="86"/>
      <c r="K18" s="47"/>
      <c r="L18" s="40" cm="1">
        <f t="array" ref="L18">SUMPRODUCT(Tracking[Amount $],--(Tracking[Date]&lt;=Tracking[[#This Row],[Date]]),(Tracking[Type]&lt;&gt;"Income") * (-1) + (Tracking[Type]="Income"), --(Tracking[Payment Type] = "Cash"))</f>
        <v>267</v>
      </c>
      <c r="M18" s="40" cm="1">
        <f t="array" ref="M18">SUMPRODUCT(Tracking[Amount LBP],--(Tracking[Date]&lt;=Tracking[[#This Row],[Date]]),(Tracking[Type]&lt;&gt;"Income") * (-1) + (Tracking[Type]="Income"), --(Tracking[Payment Type] = "Cash"))</f>
        <v>95000</v>
      </c>
      <c r="N18" s="40" cm="1">
        <f t="array" ref="N18">SUMPRODUCT(Tracking[Amount €],--(Tracking[Date]&lt;=Tracking[[#This Row],[Date]]),(Tracking[Type]&lt;&gt;"Income") * (-1) + (Tracking[Type]="Income"), --(Tracking[Payment Type] = "Cash"))</f>
        <v>2404.0700000000002</v>
      </c>
      <c r="O18" s="43" cm="1">
        <f t="array" ref="O18">IF(AND(Tracking[[#This Row],[Type]]="Income", Shift_Late_Income_Status="Active", DAY(Tracking[[#This Row],[Date]])&gt;=Shift_Late_Income_Starting_Day),
DATE(YEAR(Tracking[[#This Row],[Date]]), MONTH(Tracking[[#This Row],[Date]])+1, 1),
Tracking[[#This Row],[Date]])</f>
        <v>45992</v>
      </c>
      <c r="Q18" t="s">
        <v>13</v>
      </c>
    </row>
    <row r="19" spans="3:17" hidden="1" x14ac:dyDescent="0.25">
      <c r="C19" s="38">
        <v>45992</v>
      </c>
      <c r="D19" s="38" t="s">
        <v>16</v>
      </c>
      <c r="E19" s="37" t="s">
        <v>27</v>
      </c>
      <c r="F19" s="37" t="s">
        <v>33</v>
      </c>
      <c r="G19" s="37" t="s">
        <v>71</v>
      </c>
      <c r="H19" s="84">
        <v>31</v>
      </c>
      <c r="I19" s="85"/>
      <c r="J19" s="86"/>
      <c r="K19" s="47"/>
      <c r="L19" s="40" cm="1">
        <f t="array" ref="L19">SUMPRODUCT(Tracking[Amount $],--(Tracking[Date]&lt;=Tracking[[#This Row],[Date]]),(Tracking[Type]&lt;&gt;"Income") * (-1) + (Tracking[Type]="Income"), --(Tracking[Payment Type] = "Cash"))</f>
        <v>267</v>
      </c>
      <c r="M19" s="40" cm="1">
        <f t="array" ref="M19">SUMPRODUCT(Tracking[Amount LBP],--(Tracking[Date]&lt;=Tracking[[#This Row],[Date]]),(Tracking[Type]&lt;&gt;"Income") * (-1) + (Tracking[Type]="Income"), --(Tracking[Payment Type] = "Cash"))</f>
        <v>95000</v>
      </c>
      <c r="N19" s="40" cm="1">
        <f t="array" ref="N19">SUMPRODUCT(Tracking[Amount €],--(Tracking[Date]&lt;=Tracking[[#This Row],[Date]]),(Tracking[Type]&lt;&gt;"Income") * (-1) + (Tracking[Type]="Income"), --(Tracking[Payment Type] = "Cash"))</f>
        <v>2404.0700000000002</v>
      </c>
      <c r="O19" s="43" cm="1">
        <f t="array" ref="O19">IF(AND(Tracking[[#This Row],[Type]]="Income", Shift_Late_Income_Status="Active", DAY(Tracking[[#This Row],[Date]])&gt;=Shift_Late_Income_Starting_Day),
DATE(YEAR(Tracking[[#This Row],[Date]]), MONTH(Tracking[[#This Row],[Date]])+1, 1),
Tracking[[#This Row],[Date]])</f>
        <v>45992</v>
      </c>
    </row>
    <row r="20" spans="3:17" hidden="1" x14ac:dyDescent="0.25">
      <c r="C20" s="38">
        <v>45992</v>
      </c>
      <c r="D20" s="38" t="s">
        <v>16</v>
      </c>
      <c r="E20" s="37" t="s">
        <v>27</v>
      </c>
      <c r="F20" s="37" t="s">
        <v>28</v>
      </c>
      <c r="G20" s="37" t="s">
        <v>68</v>
      </c>
      <c r="H20" s="84">
        <v>15</v>
      </c>
      <c r="I20" s="85">
        <v>-90000</v>
      </c>
      <c r="J20" s="86"/>
      <c r="K20" s="47"/>
      <c r="L20" s="40" cm="1">
        <f t="array" ref="L20">SUMPRODUCT(Tracking[Amount $],--(Tracking[Date]&lt;=Tracking[[#This Row],[Date]]),(Tracking[Type]&lt;&gt;"Income") * (-1) + (Tracking[Type]="Income"), --(Tracking[Payment Type] = "Cash"))</f>
        <v>267</v>
      </c>
      <c r="M20" s="40" cm="1">
        <f t="array" ref="M20">SUMPRODUCT(Tracking[Amount LBP],--(Tracking[Date]&lt;=Tracking[[#This Row],[Date]]),(Tracking[Type]&lt;&gt;"Income") * (-1) + (Tracking[Type]="Income"), --(Tracking[Payment Type] = "Cash"))</f>
        <v>95000</v>
      </c>
      <c r="N20" s="40" cm="1">
        <f t="array" ref="N20">SUMPRODUCT(Tracking[Amount €],--(Tracking[Date]&lt;=Tracking[[#This Row],[Date]]),(Tracking[Type]&lt;&gt;"Income") * (-1) + (Tracking[Type]="Income"), --(Tracking[Payment Type] = "Cash"))</f>
        <v>2404.0700000000002</v>
      </c>
      <c r="O20" s="43" cm="1">
        <f t="array" ref="O20">IF(AND(Tracking[[#This Row],[Type]]="Income", Shift_Late_Income_Status="Active", DAY(Tracking[[#This Row],[Date]])&gt;=Shift_Late_Income_Starting_Day),
DATE(YEAR(Tracking[[#This Row],[Date]]), MONTH(Tracking[[#This Row],[Date]])+1, 1),
Tracking[[#This Row],[Date]])</f>
        <v>45992</v>
      </c>
    </row>
    <row r="21" spans="3:17" hidden="1" x14ac:dyDescent="0.25">
      <c r="C21" s="38">
        <v>45992</v>
      </c>
      <c r="D21" s="38" t="s">
        <v>16</v>
      </c>
      <c r="E21" s="37" t="s">
        <v>27</v>
      </c>
      <c r="F21" s="37" t="s">
        <v>46</v>
      </c>
      <c r="G21" s="37" t="s">
        <v>72</v>
      </c>
      <c r="H21" s="84">
        <v>100</v>
      </c>
      <c r="I21" s="85"/>
      <c r="J21" s="86"/>
      <c r="K21" s="47" t="s">
        <v>73</v>
      </c>
      <c r="L21" s="40" cm="1">
        <f t="array" ref="L21">SUMPRODUCT(Tracking[Amount $],--(Tracking[Date]&lt;=Tracking[[#This Row],[Date]]),(Tracking[Type]&lt;&gt;"Income") * (-1) + (Tracking[Type]="Income"), --(Tracking[Payment Type] = "Cash"))</f>
        <v>267</v>
      </c>
      <c r="M21" s="40" cm="1">
        <f t="array" ref="M21">SUMPRODUCT(Tracking[Amount LBP],--(Tracking[Date]&lt;=Tracking[[#This Row],[Date]]),(Tracking[Type]&lt;&gt;"Income") * (-1) + (Tracking[Type]="Income"), --(Tracking[Payment Type] = "Cash"))</f>
        <v>95000</v>
      </c>
      <c r="N21" s="40" cm="1">
        <f t="array" ref="N21">SUMPRODUCT(Tracking[Amount €],--(Tracking[Date]&lt;=Tracking[[#This Row],[Date]]),(Tracking[Type]&lt;&gt;"Income") * (-1) + (Tracking[Type]="Income"), --(Tracking[Payment Type] = "Cash"))</f>
        <v>2404.0700000000002</v>
      </c>
      <c r="O21" s="43" cm="1">
        <f t="array" ref="O21">IF(AND(Tracking[[#This Row],[Type]]="Income", Shift_Late_Income_Status="Active", DAY(Tracking[[#This Row],[Date]])&gt;=Shift_Late_Income_Starting_Day),
DATE(YEAR(Tracking[[#This Row],[Date]]), MONTH(Tracking[[#This Row],[Date]])+1, 1),
Tracking[[#This Row],[Date]])</f>
        <v>45992</v>
      </c>
    </row>
    <row r="22" spans="3:17" hidden="1" x14ac:dyDescent="0.25">
      <c r="C22" s="38">
        <v>45992</v>
      </c>
      <c r="D22" s="38" t="s">
        <v>16</v>
      </c>
      <c r="E22" s="37" t="s">
        <v>27</v>
      </c>
      <c r="F22" s="37" t="s">
        <v>46</v>
      </c>
      <c r="G22" s="37" t="s">
        <v>72</v>
      </c>
      <c r="H22" s="84">
        <v>60</v>
      </c>
      <c r="I22" s="85"/>
      <c r="J22" s="86"/>
      <c r="K22" s="47" t="s">
        <v>74</v>
      </c>
      <c r="L22" s="40" cm="1">
        <f t="array" ref="L22">SUMPRODUCT(Tracking[Amount $],--(Tracking[Date]&lt;=Tracking[[#This Row],[Date]]),(Tracking[Type]&lt;&gt;"Income") * (-1) + (Tracking[Type]="Income"), --(Tracking[Payment Type] = "Cash"))</f>
        <v>267</v>
      </c>
      <c r="M22" s="40" cm="1">
        <f t="array" ref="M22">SUMPRODUCT(Tracking[Amount LBP],--(Tracking[Date]&lt;=Tracking[[#This Row],[Date]]),(Tracking[Type]&lt;&gt;"Income") * (-1) + (Tracking[Type]="Income"), --(Tracking[Payment Type] = "Cash"))</f>
        <v>95000</v>
      </c>
      <c r="N22" s="40" cm="1">
        <f t="array" ref="N22">SUMPRODUCT(Tracking[Amount €],--(Tracking[Date]&lt;=Tracking[[#This Row],[Date]]),(Tracking[Type]&lt;&gt;"Income") * (-1) + (Tracking[Type]="Income"), --(Tracking[Payment Type] = "Cash"))</f>
        <v>2404.0700000000002</v>
      </c>
      <c r="O22" s="43" cm="1">
        <f t="array" ref="O22">IF(AND(Tracking[[#This Row],[Type]]="Income", Shift_Late_Income_Status="Active", DAY(Tracking[[#This Row],[Date]])&gt;=Shift_Late_Income_Starting_Day),
DATE(YEAR(Tracking[[#This Row],[Date]]), MONTH(Tracking[[#This Row],[Date]])+1, 1),
Tracking[[#This Row],[Date]])</f>
        <v>45992</v>
      </c>
    </row>
    <row r="23" spans="3:17" hidden="1" x14ac:dyDescent="0.25">
      <c r="C23" s="38">
        <v>45992</v>
      </c>
      <c r="D23" s="38" t="s">
        <v>16</v>
      </c>
      <c r="E23" s="37" t="s">
        <v>27</v>
      </c>
      <c r="F23" s="37" t="s">
        <v>43</v>
      </c>
      <c r="G23" s="37" t="s">
        <v>75</v>
      </c>
      <c r="H23" s="84">
        <v>30</v>
      </c>
      <c r="I23" s="85"/>
      <c r="J23" s="86"/>
      <c r="K23" s="47" t="s">
        <v>76</v>
      </c>
      <c r="L23" s="40" cm="1">
        <f t="array" ref="L23">SUMPRODUCT(Tracking[Amount $],--(Tracking[Date]&lt;=Tracking[[#This Row],[Date]]),(Tracking[Type]&lt;&gt;"Income") * (-1) + (Tracking[Type]="Income"), --(Tracking[Payment Type] = "Cash"))</f>
        <v>267</v>
      </c>
      <c r="M23" s="40" cm="1">
        <f t="array" ref="M23">SUMPRODUCT(Tracking[Amount LBP],--(Tracking[Date]&lt;=Tracking[[#This Row],[Date]]),(Tracking[Type]&lt;&gt;"Income") * (-1) + (Tracking[Type]="Income"), --(Tracking[Payment Type] = "Cash"))</f>
        <v>95000</v>
      </c>
      <c r="N23" s="40" cm="1">
        <f t="array" ref="N23">SUMPRODUCT(Tracking[Amount €],--(Tracking[Date]&lt;=Tracking[[#This Row],[Date]]),(Tracking[Type]&lt;&gt;"Income") * (-1) + (Tracking[Type]="Income"), --(Tracking[Payment Type] = "Cash"))</f>
        <v>2404.0700000000002</v>
      </c>
      <c r="O23" s="43" cm="1">
        <f t="array" ref="O23">IF(AND(Tracking[[#This Row],[Type]]="Income", Shift_Late_Income_Status="Active", DAY(Tracking[[#This Row],[Date]])&gt;=Shift_Late_Income_Starting_Day),
DATE(YEAR(Tracking[[#This Row],[Date]]), MONTH(Tracking[[#This Row],[Date]])+1, 1),
Tracking[[#This Row],[Date]])</f>
        <v>45992</v>
      </c>
    </row>
    <row r="24" spans="3:17" hidden="1" x14ac:dyDescent="0.25">
      <c r="C24" s="38">
        <v>46002</v>
      </c>
      <c r="D24" s="38" t="s">
        <v>16</v>
      </c>
      <c r="E24" s="37" t="s">
        <v>27</v>
      </c>
      <c r="F24" s="37" t="s">
        <v>43</v>
      </c>
      <c r="G24" s="37" t="s">
        <v>75</v>
      </c>
      <c r="H24" s="84">
        <v>60</v>
      </c>
      <c r="I24" s="85"/>
      <c r="J24" s="86"/>
      <c r="K24" s="47" t="s">
        <v>77</v>
      </c>
      <c r="L24" s="40" cm="1">
        <f t="array" ref="L24">SUMPRODUCT(Tracking[Amount $],--(Tracking[Date]&lt;=Tracking[[#This Row],[Date]]),(Tracking[Type]&lt;&gt;"Income") * (-1) + (Tracking[Type]="Income"), --(Tracking[Payment Type] = "Cash"))</f>
        <v>2142</v>
      </c>
      <c r="M24" s="40" cm="1">
        <f t="array" ref="M24">SUMPRODUCT(Tracking[Amount LBP],--(Tracking[Date]&lt;=Tracking[[#This Row],[Date]]),(Tracking[Type]&lt;&gt;"Income") * (-1) + (Tracking[Type]="Income"), --(Tracking[Payment Type] = "Cash"))</f>
        <v>245000</v>
      </c>
      <c r="N24" s="40" cm="1">
        <f t="array" ref="N24">SUMPRODUCT(Tracking[Amount €],--(Tracking[Date]&lt;=Tracking[[#This Row],[Date]]),(Tracking[Type]&lt;&gt;"Income") * (-1) + (Tracking[Type]="Income"), --(Tracking[Payment Type] = "Cash"))</f>
        <v>6204.07</v>
      </c>
      <c r="O24" s="43" cm="1">
        <f t="array" ref="O24">IF(AND(Tracking[[#This Row],[Type]]="Income", Shift_Late_Income_Status="Active", DAY(Tracking[[#This Row],[Date]])&gt;=Shift_Late_Income_Starting_Day),
DATE(YEAR(Tracking[[#This Row],[Date]]), MONTH(Tracking[[#This Row],[Date]])+1, 1),
Tracking[[#This Row],[Date]])</f>
        <v>46002</v>
      </c>
    </row>
    <row r="25" spans="3:17" hidden="1" x14ac:dyDescent="0.25">
      <c r="C25" s="38">
        <v>46002</v>
      </c>
      <c r="D25" s="38" t="s">
        <v>16</v>
      </c>
      <c r="E25" s="37" t="s">
        <v>27</v>
      </c>
      <c r="F25" s="37" t="s">
        <v>33</v>
      </c>
      <c r="G25" s="37" t="s">
        <v>71</v>
      </c>
      <c r="H25" s="84">
        <v>30</v>
      </c>
      <c r="I25" s="85"/>
      <c r="J25" s="86"/>
      <c r="K25" s="47"/>
      <c r="L25" s="40" cm="1">
        <f t="array" ref="L25">SUMPRODUCT(Tracking[Amount $],--(Tracking[Date]&lt;=Tracking[[#This Row],[Date]]),(Tracking[Type]&lt;&gt;"Income") * (-1) + (Tracking[Type]="Income"), --(Tracking[Payment Type] = "Cash"))</f>
        <v>2142</v>
      </c>
      <c r="M25" s="40" cm="1">
        <f t="array" ref="M25">SUMPRODUCT(Tracking[Amount LBP],--(Tracking[Date]&lt;=Tracking[[#This Row],[Date]]),(Tracking[Type]&lt;&gt;"Income") * (-1) + (Tracking[Type]="Income"), --(Tracking[Payment Type] = "Cash"))</f>
        <v>245000</v>
      </c>
      <c r="N25" s="40" cm="1">
        <f t="array" ref="N25">SUMPRODUCT(Tracking[Amount €],--(Tracking[Date]&lt;=Tracking[[#This Row],[Date]]),(Tracking[Type]&lt;&gt;"Income") * (-1) + (Tracking[Type]="Income"), --(Tracking[Payment Type] = "Cash"))</f>
        <v>6204.07</v>
      </c>
      <c r="O25" s="43" cm="1">
        <f t="array" ref="O25">IF(AND(Tracking[[#This Row],[Type]]="Income", Shift_Late_Income_Status="Active", DAY(Tracking[[#This Row],[Date]])&gt;=Shift_Late_Income_Starting_Day),
DATE(YEAR(Tracking[[#This Row],[Date]]), MONTH(Tracking[[#This Row],[Date]])+1, 1),
Tracking[[#This Row],[Date]])</f>
        <v>46002</v>
      </c>
    </row>
    <row r="26" spans="3:17" hidden="1" x14ac:dyDescent="0.25">
      <c r="C26" s="38">
        <v>46002</v>
      </c>
      <c r="D26" s="38" t="s">
        <v>16</v>
      </c>
      <c r="E26" s="37" t="s">
        <v>27</v>
      </c>
      <c r="F26" s="37" t="s">
        <v>32</v>
      </c>
      <c r="G26" s="37" t="s">
        <v>78</v>
      </c>
      <c r="H26" s="84">
        <v>25</v>
      </c>
      <c r="I26" s="85"/>
      <c r="J26" s="86"/>
      <c r="K26" s="47"/>
      <c r="L26" s="40" cm="1">
        <f t="array" ref="L26">SUMPRODUCT(Tracking[Amount $],--(Tracking[Date]&lt;=Tracking[[#This Row],[Date]]),(Tracking[Type]&lt;&gt;"Income") * (-1) + (Tracking[Type]="Income"), --(Tracking[Payment Type] = "Cash"))</f>
        <v>2142</v>
      </c>
      <c r="M26" s="40" cm="1">
        <f t="array" ref="M26">SUMPRODUCT(Tracking[Amount LBP],--(Tracking[Date]&lt;=Tracking[[#This Row],[Date]]),(Tracking[Type]&lt;&gt;"Income") * (-1) + (Tracking[Type]="Income"), --(Tracking[Payment Type] = "Cash"))</f>
        <v>245000</v>
      </c>
      <c r="N26" s="40" cm="1">
        <f t="array" ref="N26">SUMPRODUCT(Tracking[Amount €],--(Tracking[Date]&lt;=Tracking[[#This Row],[Date]]),(Tracking[Type]&lt;&gt;"Income") * (-1) + (Tracking[Type]="Income"), --(Tracking[Payment Type] = "Cash"))</f>
        <v>6204.07</v>
      </c>
      <c r="O26" s="43" cm="1">
        <f t="array" ref="O26">IF(AND(Tracking[[#This Row],[Type]]="Income", Shift_Late_Income_Status="Active", DAY(Tracking[[#This Row],[Date]])&gt;=Shift_Late_Income_Starting_Day),
DATE(YEAR(Tracking[[#This Row],[Date]]), MONTH(Tracking[[#This Row],[Date]])+1, 1),
Tracking[[#This Row],[Date]])</f>
        <v>46002</v>
      </c>
    </row>
    <row r="27" spans="3:17" hidden="1" x14ac:dyDescent="0.25">
      <c r="C27" s="38">
        <v>46002</v>
      </c>
      <c r="D27" s="38" t="s">
        <v>16</v>
      </c>
      <c r="E27" s="37" t="s">
        <v>27</v>
      </c>
      <c r="F27" s="37" t="s">
        <v>34</v>
      </c>
      <c r="G27" s="37" t="s">
        <v>79</v>
      </c>
      <c r="H27" s="84">
        <v>10</v>
      </c>
      <c r="I27" s="85">
        <v>-200000</v>
      </c>
      <c r="J27" s="86"/>
      <c r="K27" s="47" t="s">
        <v>80</v>
      </c>
      <c r="L27" s="40" cm="1">
        <f t="array" ref="L27">SUMPRODUCT(Tracking[Amount $],--(Tracking[Date]&lt;=Tracking[[#This Row],[Date]]),(Tracking[Type]&lt;&gt;"Income") * (-1) + (Tracking[Type]="Income"), --(Tracking[Payment Type] = "Cash"))</f>
        <v>2142</v>
      </c>
      <c r="M27" s="40" cm="1">
        <f t="array" ref="M27">SUMPRODUCT(Tracking[Amount LBP],--(Tracking[Date]&lt;=Tracking[[#This Row],[Date]]),(Tracking[Type]&lt;&gt;"Income") * (-1) + (Tracking[Type]="Income"), --(Tracking[Payment Type] = "Cash"))</f>
        <v>245000</v>
      </c>
      <c r="N27" s="40" cm="1">
        <f t="array" ref="N27">SUMPRODUCT(Tracking[Amount €],--(Tracking[Date]&lt;=Tracking[[#This Row],[Date]]),(Tracking[Type]&lt;&gt;"Income") * (-1) + (Tracking[Type]="Income"), --(Tracking[Payment Type] = "Cash"))</f>
        <v>6204.07</v>
      </c>
      <c r="O27" s="43" cm="1">
        <f t="array" ref="O27">IF(AND(Tracking[[#This Row],[Type]]="Income", Shift_Late_Income_Status="Active", DAY(Tracking[[#This Row],[Date]])&gt;=Shift_Late_Income_Starting_Day),
DATE(YEAR(Tracking[[#This Row],[Date]]), MONTH(Tracking[[#This Row],[Date]])+1, 1),
Tracking[[#This Row],[Date]])</f>
        <v>46002</v>
      </c>
    </row>
    <row r="28" spans="3:17" hidden="1" x14ac:dyDescent="0.25">
      <c r="C28" s="38">
        <v>46002</v>
      </c>
      <c r="D28" s="38" t="s">
        <v>16</v>
      </c>
      <c r="E28" s="37" t="s">
        <v>27</v>
      </c>
      <c r="F28" s="37" t="s">
        <v>28</v>
      </c>
      <c r="G28" s="37" t="s">
        <v>68</v>
      </c>
      <c r="H28" s="84"/>
      <c r="I28" s="85">
        <v>50000</v>
      </c>
      <c r="J28" s="86"/>
      <c r="K28" s="47" t="s">
        <v>81</v>
      </c>
      <c r="L28" s="40" cm="1">
        <f t="array" ref="L28">SUMPRODUCT(Tracking[Amount $],--(Tracking[Date]&lt;=Tracking[[#This Row],[Date]]),(Tracking[Type]&lt;&gt;"Income") * (-1) + (Tracking[Type]="Income"), --(Tracking[Payment Type] = "Cash"))</f>
        <v>2142</v>
      </c>
      <c r="M28" s="40" cm="1">
        <f t="array" ref="M28">SUMPRODUCT(Tracking[Amount LBP],--(Tracking[Date]&lt;=Tracking[[#This Row],[Date]]),(Tracking[Type]&lt;&gt;"Income") * (-1) + (Tracking[Type]="Income"), --(Tracking[Payment Type] = "Cash"))</f>
        <v>245000</v>
      </c>
      <c r="N28" s="40" cm="1">
        <f t="array" ref="N28">SUMPRODUCT(Tracking[Amount €],--(Tracking[Date]&lt;=Tracking[[#This Row],[Date]]),(Tracking[Type]&lt;&gt;"Income") * (-1) + (Tracking[Type]="Income"), --(Tracking[Payment Type] = "Cash"))</f>
        <v>6204.07</v>
      </c>
      <c r="O28" s="43" cm="1">
        <f t="array" ref="O28">IF(AND(Tracking[[#This Row],[Type]]="Income", Shift_Late_Income_Status="Active", DAY(Tracking[[#This Row],[Date]])&gt;=Shift_Late_Income_Starting_Day),
DATE(YEAR(Tracking[[#This Row],[Date]]), MONTH(Tracking[[#This Row],[Date]])+1, 1),
Tracking[[#This Row],[Date]])</f>
        <v>46002</v>
      </c>
    </row>
    <row r="29" spans="3:17" hidden="1" x14ac:dyDescent="0.25">
      <c r="C29" s="38">
        <v>46002</v>
      </c>
      <c r="D29" s="38" t="s">
        <v>16</v>
      </c>
      <c r="E29" s="37" t="s">
        <v>20</v>
      </c>
      <c r="F29" s="37" t="s">
        <v>23</v>
      </c>
      <c r="G29" s="37"/>
      <c r="H29" s="84">
        <v>2000</v>
      </c>
      <c r="I29" s="85"/>
      <c r="J29" s="86">
        <v>3800</v>
      </c>
      <c r="K29" s="47"/>
      <c r="L29" s="40" cm="1">
        <f t="array" ref="L29">SUMPRODUCT(Tracking[Amount $],--(Tracking[Date]&lt;=Tracking[[#This Row],[Date]]),(Tracking[Type]&lt;&gt;"Income") * (-1) + (Tracking[Type]="Income"), --(Tracking[Payment Type] = "Cash"))</f>
        <v>2142</v>
      </c>
      <c r="M29" s="40" cm="1">
        <f t="array" ref="M29">SUMPRODUCT(Tracking[Amount LBP],--(Tracking[Date]&lt;=Tracking[[#This Row],[Date]]),(Tracking[Type]&lt;&gt;"Income") * (-1) + (Tracking[Type]="Income"), --(Tracking[Payment Type] = "Cash"))</f>
        <v>245000</v>
      </c>
      <c r="N29" s="40" cm="1">
        <f t="array" ref="N29">SUMPRODUCT(Tracking[Amount €],--(Tracking[Date]&lt;=Tracking[[#This Row],[Date]]),(Tracking[Type]&lt;&gt;"Income") * (-1) + (Tracking[Type]="Income"), --(Tracking[Payment Type] = "Cash"))</f>
        <v>6204.07</v>
      </c>
      <c r="O29" s="43" cm="1">
        <f t="array" ref="O29">IF(AND(Tracking[[#This Row],[Type]]="Income", Shift_Late_Income_Status="Active", DAY(Tracking[[#This Row],[Date]])&gt;=Shift_Late_Income_Starting_Day),
DATE(YEAR(Tracking[[#This Row],[Date]]), MONTH(Tracking[[#This Row],[Date]])+1, 1),
Tracking[[#This Row],[Date]])</f>
        <v>46002</v>
      </c>
    </row>
    <row r="30" spans="3:17" hidden="1" x14ac:dyDescent="0.25">
      <c r="C30" s="38">
        <v>46002</v>
      </c>
      <c r="D30" s="38" t="s">
        <v>82</v>
      </c>
      <c r="E30" s="37" t="s">
        <v>27</v>
      </c>
      <c r="F30" s="37" t="s">
        <v>28</v>
      </c>
      <c r="G30" s="37" t="s">
        <v>83</v>
      </c>
      <c r="H30" s="84">
        <v>20</v>
      </c>
      <c r="I30" s="85"/>
      <c r="J30" s="86"/>
      <c r="K30" s="47"/>
      <c r="L30" s="40" cm="1">
        <f t="array" ref="L30">SUMPRODUCT(Tracking[Amount $],--(Tracking[Date]&lt;=Tracking[[#This Row],[Date]]),(Tracking[Type]&lt;&gt;"Income") * (-1) + (Tracking[Type]="Income"), --(Tracking[Payment Type] = "Cash"))</f>
        <v>2142</v>
      </c>
      <c r="M30" s="40" cm="1">
        <f t="array" ref="M30">SUMPRODUCT(Tracking[Amount LBP],--(Tracking[Date]&lt;=Tracking[[#This Row],[Date]]),(Tracking[Type]&lt;&gt;"Income") * (-1) + (Tracking[Type]="Income"), --(Tracking[Payment Type] = "Cash"))</f>
        <v>245000</v>
      </c>
      <c r="N30" s="40" cm="1">
        <f t="array" ref="N30">SUMPRODUCT(Tracking[Amount €],--(Tracking[Date]&lt;=Tracking[[#This Row],[Date]]),(Tracking[Type]&lt;&gt;"Income") * (-1) + (Tracking[Type]="Income"), --(Tracking[Payment Type] = "Cash"))</f>
        <v>6204.07</v>
      </c>
      <c r="O30" s="43" cm="1">
        <f t="array" ref="O30">IF(AND(Tracking[[#This Row],[Type]]="Income", Shift_Late_Income_Status="Active", DAY(Tracking[[#This Row],[Date]])&gt;=Shift_Late_Income_Starting_Day),
DATE(YEAR(Tracking[[#This Row],[Date]]), MONTH(Tracking[[#This Row],[Date]])+1, 1),
Tracking[[#This Row],[Date]])</f>
        <v>46002</v>
      </c>
    </row>
    <row r="31" spans="3:17" hidden="1" x14ac:dyDescent="0.25">
      <c r="C31" s="38">
        <v>46002</v>
      </c>
      <c r="D31" s="38" t="s">
        <v>82</v>
      </c>
      <c r="E31" s="37" t="s">
        <v>27</v>
      </c>
      <c r="F31" s="37" t="s">
        <v>28</v>
      </c>
      <c r="G31" s="37" t="s">
        <v>84</v>
      </c>
      <c r="H31" s="84">
        <v>0</v>
      </c>
      <c r="I31" s="85"/>
      <c r="J31" s="86"/>
      <c r="K31" s="47"/>
      <c r="L31" s="40" cm="1">
        <f t="array" ref="L31">SUMPRODUCT(Tracking[Amount $],--(Tracking[Date]&lt;=Tracking[[#This Row],[Date]]),(Tracking[Type]&lt;&gt;"Income") * (-1) + (Tracking[Type]="Income"), --(Tracking[Payment Type] = "Cash"))</f>
        <v>2142</v>
      </c>
      <c r="M31" s="40" cm="1">
        <f t="array" ref="M31">SUMPRODUCT(Tracking[Amount LBP],--(Tracking[Date]&lt;=Tracking[[#This Row],[Date]]),(Tracking[Type]&lt;&gt;"Income") * (-1) + (Tracking[Type]="Income"), --(Tracking[Payment Type] = "Cash"))</f>
        <v>245000</v>
      </c>
      <c r="N31" s="40" cm="1">
        <f t="array" ref="N31">SUMPRODUCT(Tracking[Amount €],--(Tracking[Date]&lt;=Tracking[[#This Row],[Date]]),(Tracking[Type]&lt;&gt;"Income") * (-1) + (Tracking[Type]="Income"), --(Tracking[Payment Type] = "Cash"))</f>
        <v>6204.07</v>
      </c>
      <c r="O31" s="43" cm="1">
        <f t="array" ref="O31">IF(AND(Tracking[[#This Row],[Type]]="Income", Shift_Late_Income_Status="Active", DAY(Tracking[[#This Row],[Date]])&gt;=Shift_Late_Income_Starting_Day),
DATE(YEAR(Tracking[[#This Row],[Date]]), MONTH(Tracking[[#This Row],[Date]])+1, 1),
Tracking[[#This Row],[Date]])</f>
        <v>46002</v>
      </c>
    </row>
    <row r="32" spans="3:17" hidden="1" x14ac:dyDescent="0.25">
      <c r="C32" s="38">
        <v>46002</v>
      </c>
      <c r="D32" s="38" t="s">
        <v>82</v>
      </c>
      <c r="E32" s="37" t="s">
        <v>27</v>
      </c>
      <c r="F32" s="37" t="s">
        <v>28</v>
      </c>
      <c r="G32" s="37" t="s">
        <v>84</v>
      </c>
      <c r="H32" s="84">
        <v>14</v>
      </c>
      <c r="I32" s="85"/>
      <c r="J32" s="86"/>
      <c r="K32" s="47"/>
      <c r="L32" s="40" cm="1">
        <f t="array" ref="L32">SUMPRODUCT(Tracking[Amount $],--(Tracking[Date]&lt;=Tracking[[#This Row],[Date]]),(Tracking[Type]&lt;&gt;"Income") * (-1) + (Tracking[Type]="Income"), --(Tracking[Payment Type] = "Cash"))</f>
        <v>2142</v>
      </c>
      <c r="M32" s="40" cm="1">
        <f t="array" ref="M32">SUMPRODUCT(Tracking[Amount LBP],--(Tracking[Date]&lt;=Tracking[[#This Row],[Date]]),(Tracking[Type]&lt;&gt;"Income") * (-1) + (Tracking[Type]="Income"), --(Tracking[Payment Type] = "Cash"))</f>
        <v>245000</v>
      </c>
      <c r="N32" s="40" cm="1">
        <f t="array" ref="N32">SUMPRODUCT(Tracking[Amount €],--(Tracking[Date]&lt;=Tracking[[#This Row],[Date]]),(Tracking[Type]&lt;&gt;"Income") * (-1) + (Tracking[Type]="Income"), --(Tracking[Payment Type] = "Cash"))</f>
        <v>6204.07</v>
      </c>
      <c r="O32" s="43" cm="1">
        <f t="array" ref="O32">IF(AND(Tracking[[#This Row],[Type]]="Income", Shift_Late_Income_Status="Active", DAY(Tracking[[#This Row],[Date]])&gt;=Shift_Late_Income_Starting_Day),
DATE(YEAR(Tracking[[#This Row],[Date]]), MONTH(Tracking[[#This Row],[Date]])+1, 1),
Tracking[[#This Row],[Date]])</f>
        <v>46002</v>
      </c>
    </row>
    <row r="33" spans="3:15" hidden="1" x14ac:dyDescent="0.25">
      <c r="C33" s="38">
        <v>46002</v>
      </c>
      <c r="D33" s="38" t="s">
        <v>82</v>
      </c>
      <c r="E33" s="37" t="s">
        <v>27</v>
      </c>
      <c r="F33" s="37" t="s">
        <v>29</v>
      </c>
      <c r="G33" s="37" t="s">
        <v>85</v>
      </c>
      <c r="H33" s="84">
        <v>30.7</v>
      </c>
      <c r="I33" s="85"/>
      <c r="J33" s="86"/>
      <c r="K33" s="47"/>
      <c r="L33" s="40" cm="1">
        <f t="array" ref="L33">SUMPRODUCT(Tracking[Amount $],--(Tracking[Date]&lt;=Tracking[[#This Row],[Date]]),(Tracking[Type]&lt;&gt;"Income") * (-1) + (Tracking[Type]="Income"), --(Tracking[Payment Type] = "Cash"))</f>
        <v>2142</v>
      </c>
      <c r="M33" s="40" cm="1">
        <f t="array" ref="M33">SUMPRODUCT(Tracking[Amount LBP],--(Tracking[Date]&lt;=Tracking[[#This Row],[Date]]),(Tracking[Type]&lt;&gt;"Income") * (-1) + (Tracking[Type]="Income"), --(Tracking[Payment Type] = "Cash"))</f>
        <v>245000</v>
      </c>
      <c r="N33" s="40" cm="1">
        <f t="array" ref="N33">SUMPRODUCT(Tracking[Amount €],--(Tracking[Date]&lt;=Tracking[[#This Row],[Date]]),(Tracking[Type]&lt;&gt;"Income") * (-1) + (Tracking[Type]="Income"), --(Tracking[Payment Type] = "Cash"))</f>
        <v>6204.07</v>
      </c>
      <c r="O33" s="43" cm="1">
        <f t="array" ref="O33">IF(AND(Tracking[[#This Row],[Type]]="Income", Shift_Late_Income_Status="Active", DAY(Tracking[[#This Row],[Date]])&gt;=Shift_Late_Income_Starting_Day),
DATE(YEAR(Tracking[[#This Row],[Date]]), MONTH(Tracking[[#This Row],[Date]])+1, 1),
Tracking[[#This Row],[Date]])</f>
        <v>46002</v>
      </c>
    </row>
    <row r="34" spans="3:15" hidden="1" x14ac:dyDescent="0.25">
      <c r="C34" s="38">
        <v>46002</v>
      </c>
      <c r="D34" s="38" t="s">
        <v>82</v>
      </c>
      <c r="E34" s="37" t="s">
        <v>27</v>
      </c>
      <c r="F34" s="37" t="s">
        <v>29</v>
      </c>
      <c r="G34" s="37" t="s">
        <v>86</v>
      </c>
      <c r="H34" s="84">
        <v>5</v>
      </c>
      <c r="I34" s="85"/>
      <c r="J34" s="86"/>
      <c r="K34" s="47"/>
      <c r="L34" s="40" cm="1">
        <f t="array" ref="L34">SUMPRODUCT(Tracking[Amount $],--(Tracking[Date]&lt;=Tracking[[#This Row],[Date]]),(Tracking[Type]&lt;&gt;"Income") * (-1) + (Tracking[Type]="Income"), --(Tracking[Payment Type] = "Cash"))</f>
        <v>2142</v>
      </c>
      <c r="M34" s="40" cm="1">
        <f t="array" ref="M34">SUMPRODUCT(Tracking[Amount LBP],--(Tracking[Date]&lt;=Tracking[[#This Row],[Date]]),(Tracking[Type]&lt;&gt;"Income") * (-1) + (Tracking[Type]="Income"), --(Tracking[Payment Type] = "Cash"))</f>
        <v>245000</v>
      </c>
      <c r="N34" s="40" cm="1">
        <f t="array" ref="N34">SUMPRODUCT(Tracking[Amount €],--(Tracking[Date]&lt;=Tracking[[#This Row],[Date]]),(Tracking[Type]&lt;&gt;"Income") * (-1) + (Tracking[Type]="Income"), --(Tracking[Payment Type] = "Cash"))</f>
        <v>6204.07</v>
      </c>
      <c r="O34" s="43" cm="1">
        <f t="array" ref="O34">IF(AND(Tracking[[#This Row],[Type]]="Income", Shift_Late_Income_Status="Active", DAY(Tracking[[#This Row],[Date]])&gt;=Shift_Late_Income_Starting_Day),
DATE(YEAR(Tracking[[#This Row],[Date]]), MONTH(Tracking[[#This Row],[Date]])+1, 1),
Tracking[[#This Row],[Date]])</f>
        <v>46002</v>
      </c>
    </row>
    <row r="35" spans="3:15" hidden="1" x14ac:dyDescent="0.25">
      <c r="C35" s="38">
        <v>46002</v>
      </c>
      <c r="D35" s="38" t="s">
        <v>82</v>
      </c>
      <c r="E35" s="37" t="s">
        <v>27</v>
      </c>
      <c r="F35" s="37" t="s">
        <v>29</v>
      </c>
      <c r="G35" s="37" t="s">
        <v>70</v>
      </c>
      <c r="H35" s="84">
        <v>-3.5</v>
      </c>
      <c r="I35" s="85"/>
      <c r="J35" s="86"/>
      <c r="K35" s="47"/>
      <c r="L35" s="40" cm="1">
        <f t="array" ref="L35">SUMPRODUCT(Tracking[Amount $],--(Tracking[Date]&lt;=Tracking[[#This Row],[Date]]),(Tracking[Type]&lt;&gt;"Income") * (-1) + (Tracking[Type]="Income"), --(Tracking[Payment Type] = "Cash"))</f>
        <v>2142</v>
      </c>
      <c r="M35" s="40" cm="1">
        <f t="array" ref="M35">SUMPRODUCT(Tracking[Amount LBP],--(Tracking[Date]&lt;=Tracking[[#This Row],[Date]]),(Tracking[Type]&lt;&gt;"Income") * (-1) + (Tracking[Type]="Income"), --(Tracking[Payment Type] = "Cash"))</f>
        <v>245000</v>
      </c>
      <c r="N35" s="40" cm="1">
        <f t="array" ref="N35">SUMPRODUCT(Tracking[Amount €],--(Tracking[Date]&lt;=Tracking[[#This Row],[Date]]),(Tracking[Type]&lt;&gt;"Income") * (-1) + (Tracking[Type]="Income"), --(Tracking[Payment Type] = "Cash"))</f>
        <v>6204.07</v>
      </c>
      <c r="O35" s="43" cm="1">
        <f t="array" ref="O35">IF(AND(Tracking[[#This Row],[Type]]="Income", Shift_Late_Income_Status="Active", DAY(Tracking[[#This Row],[Date]])&gt;=Shift_Late_Income_Starting_Day),
DATE(YEAR(Tracking[[#This Row],[Date]]), MONTH(Tracking[[#This Row],[Date]])+1, 1),
Tracking[[#This Row],[Date]])</f>
        <v>46002</v>
      </c>
    </row>
    <row r="36" spans="3:15" hidden="1" x14ac:dyDescent="0.25">
      <c r="C36" s="38">
        <v>46002</v>
      </c>
      <c r="D36" s="38" t="s">
        <v>82</v>
      </c>
      <c r="E36" s="37" t="s">
        <v>27</v>
      </c>
      <c r="F36" s="37" t="s">
        <v>28</v>
      </c>
      <c r="G36" s="37" t="s">
        <v>84</v>
      </c>
      <c r="H36" s="84">
        <v>4</v>
      </c>
      <c r="I36" s="85"/>
      <c r="J36" s="86"/>
      <c r="K36" s="47"/>
      <c r="L36" s="40" cm="1">
        <f t="array" ref="L36">SUMPRODUCT(Tracking[Amount $],--(Tracking[Date]&lt;=Tracking[[#This Row],[Date]]),(Tracking[Type]&lt;&gt;"Income") * (-1) + (Tracking[Type]="Income"), --(Tracking[Payment Type] = "Cash"))</f>
        <v>2142</v>
      </c>
      <c r="M36" s="40" cm="1">
        <f t="array" ref="M36">SUMPRODUCT(Tracking[Amount LBP],--(Tracking[Date]&lt;=Tracking[[#This Row],[Date]]),(Tracking[Type]&lt;&gt;"Income") * (-1) + (Tracking[Type]="Income"), --(Tracking[Payment Type] = "Cash"))</f>
        <v>245000</v>
      </c>
      <c r="N36" s="40" cm="1">
        <f t="array" ref="N36">SUMPRODUCT(Tracking[Amount €],--(Tracking[Date]&lt;=Tracking[[#This Row],[Date]]),(Tracking[Type]&lt;&gt;"Income") * (-1) + (Tracking[Type]="Income"), --(Tracking[Payment Type] = "Cash"))</f>
        <v>6204.07</v>
      </c>
      <c r="O36" s="43" cm="1">
        <f t="array" ref="O36">IF(AND(Tracking[[#This Row],[Type]]="Income", Shift_Late_Income_Status="Active", DAY(Tracking[[#This Row],[Date]])&gt;=Shift_Late_Income_Starting_Day),
DATE(YEAR(Tracking[[#This Row],[Date]]), MONTH(Tracking[[#This Row],[Date]])+1, 1),
Tracking[[#This Row],[Date]])</f>
        <v>46002</v>
      </c>
    </row>
    <row r="37" spans="3:15" hidden="1" x14ac:dyDescent="0.25">
      <c r="C37" s="38">
        <v>46002</v>
      </c>
      <c r="D37" s="38" t="s">
        <v>82</v>
      </c>
      <c r="E37" s="37" t="s">
        <v>27</v>
      </c>
      <c r="F37" s="37" t="s">
        <v>32</v>
      </c>
      <c r="G37" s="37" t="s">
        <v>87</v>
      </c>
      <c r="H37" s="84">
        <v>8</v>
      </c>
      <c r="I37" s="85"/>
      <c r="J37" s="86"/>
      <c r="K37" s="47" t="s">
        <v>88</v>
      </c>
      <c r="L37" s="40" cm="1">
        <f t="array" ref="L37">SUMPRODUCT(Tracking[Amount $],--(Tracking[Date]&lt;=Tracking[[#This Row],[Date]]),(Tracking[Type]&lt;&gt;"Income") * (-1) + (Tracking[Type]="Income"), --(Tracking[Payment Type] = "Cash"))</f>
        <v>2142</v>
      </c>
      <c r="M37" s="40" cm="1">
        <f t="array" ref="M37">SUMPRODUCT(Tracking[Amount LBP],--(Tracking[Date]&lt;=Tracking[[#This Row],[Date]]),(Tracking[Type]&lt;&gt;"Income") * (-1) + (Tracking[Type]="Income"), --(Tracking[Payment Type] = "Cash"))</f>
        <v>245000</v>
      </c>
      <c r="N37" s="40" cm="1">
        <f t="array" ref="N37">SUMPRODUCT(Tracking[Amount €],--(Tracking[Date]&lt;=Tracking[[#This Row],[Date]]),(Tracking[Type]&lt;&gt;"Income") * (-1) + (Tracking[Type]="Income"), --(Tracking[Payment Type] = "Cash"))</f>
        <v>6204.07</v>
      </c>
      <c r="O37" s="43" cm="1">
        <f t="array" ref="O37">IF(AND(Tracking[[#This Row],[Type]]="Income", Shift_Late_Income_Status="Active", DAY(Tracking[[#This Row],[Date]])&gt;=Shift_Late_Income_Starting_Day),
DATE(YEAR(Tracking[[#This Row],[Date]]), MONTH(Tracking[[#This Row],[Date]])+1, 1),
Tracking[[#This Row],[Date]])</f>
        <v>46002</v>
      </c>
    </row>
    <row r="38" spans="3:15" hidden="1" x14ac:dyDescent="0.25">
      <c r="C38" s="38">
        <v>46002</v>
      </c>
      <c r="D38" s="38" t="s">
        <v>82</v>
      </c>
      <c r="E38" s="37" t="s">
        <v>27</v>
      </c>
      <c r="F38" s="37" t="s">
        <v>29</v>
      </c>
      <c r="G38" s="37" t="s">
        <v>89</v>
      </c>
      <c r="H38" s="84">
        <v>11.5</v>
      </c>
      <c r="I38" s="85"/>
      <c r="J38" s="86"/>
      <c r="K38" s="47"/>
      <c r="L38" s="40" cm="1">
        <f t="array" ref="L38">SUMPRODUCT(Tracking[Amount $],--(Tracking[Date]&lt;=Tracking[[#This Row],[Date]]),(Tracking[Type]&lt;&gt;"Income") * (-1) + (Tracking[Type]="Income"), --(Tracking[Payment Type] = "Cash"))</f>
        <v>2142</v>
      </c>
      <c r="M38" s="40" cm="1">
        <f t="array" ref="M38">SUMPRODUCT(Tracking[Amount LBP],--(Tracking[Date]&lt;=Tracking[[#This Row],[Date]]),(Tracking[Type]&lt;&gt;"Income") * (-1) + (Tracking[Type]="Income"), --(Tracking[Payment Type] = "Cash"))</f>
        <v>245000</v>
      </c>
      <c r="N38" s="40" cm="1">
        <f t="array" ref="N38">SUMPRODUCT(Tracking[Amount €],--(Tracking[Date]&lt;=Tracking[[#This Row],[Date]]),(Tracking[Type]&lt;&gt;"Income") * (-1) + (Tracking[Type]="Income"), --(Tracking[Payment Type] = "Cash"))</f>
        <v>6204.07</v>
      </c>
      <c r="O38" s="43" cm="1">
        <f t="array" ref="O38">IF(AND(Tracking[[#This Row],[Type]]="Income", Shift_Late_Income_Status="Active", DAY(Tracking[[#This Row],[Date]])&gt;=Shift_Late_Income_Starting_Day),
DATE(YEAR(Tracking[[#This Row],[Date]]), MONTH(Tracking[[#This Row],[Date]])+1, 1),
Tracking[[#This Row],[Date]])</f>
        <v>46002</v>
      </c>
    </row>
    <row r="39" spans="3:15" hidden="1" x14ac:dyDescent="0.25">
      <c r="C39" s="38">
        <v>46002</v>
      </c>
      <c r="D39" s="38" t="s">
        <v>82</v>
      </c>
      <c r="E39" s="37" t="s">
        <v>27</v>
      </c>
      <c r="F39" s="37" t="s">
        <v>30</v>
      </c>
      <c r="G39" s="37" t="s">
        <v>90</v>
      </c>
      <c r="H39" s="84">
        <v>24.66</v>
      </c>
      <c r="I39" s="85"/>
      <c r="J39" s="86"/>
      <c r="K39" s="47" t="s">
        <v>91</v>
      </c>
      <c r="L39" s="40" cm="1">
        <f t="array" ref="L39">SUMPRODUCT(Tracking[Amount $],--(Tracking[Date]&lt;=Tracking[[#This Row],[Date]]),(Tracking[Type]&lt;&gt;"Income") * (-1) + (Tracking[Type]="Income"), --(Tracking[Payment Type] = "Cash"))</f>
        <v>2142</v>
      </c>
      <c r="M39" s="40" cm="1">
        <f t="array" ref="M39">SUMPRODUCT(Tracking[Amount LBP],--(Tracking[Date]&lt;=Tracking[[#This Row],[Date]]),(Tracking[Type]&lt;&gt;"Income") * (-1) + (Tracking[Type]="Income"), --(Tracking[Payment Type] = "Cash"))</f>
        <v>245000</v>
      </c>
      <c r="N39" s="40" cm="1">
        <f t="array" ref="N39">SUMPRODUCT(Tracking[Amount €],--(Tracking[Date]&lt;=Tracking[[#This Row],[Date]]),(Tracking[Type]&lt;&gt;"Income") * (-1) + (Tracking[Type]="Income"), --(Tracking[Payment Type] = "Cash"))</f>
        <v>6204.07</v>
      </c>
      <c r="O39" s="43" cm="1">
        <f t="array" ref="O39">IF(AND(Tracking[[#This Row],[Type]]="Income", Shift_Late_Income_Status="Active", DAY(Tracking[[#This Row],[Date]])&gt;=Shift_Late_Income_Starting_Day),
DATE(YEAR(Tracking[[#This Row],[Date]]), MONTH(Tracking[[#This Row],[Date]])+1, 1),
Tracking[[#This Row],[Date]])</f>
        <v>46002</v>
      </c>
    </row>
    <row r="40" spans="3:15" hidden="1" x14ac:dyDescent="0.25">
      <c r="C40" s="38">
        <v>46002</v>
      </c>
      <c r="D40" s="38" t="s">
        <v>82</v>
      </c>
      <c r="E40" s="37" t="s">
        <v>27</v>
      </c>
      <c r="F40" s="37" t="s">
        <v>29</v>
      </c>
      <c r="G40" s="37" t="s">
        <v>92</v>
      </c>
      <c r="H40" s="84">
        <v>0</v>
      </c>
      <c r="I40" s="85"/>
      <c r="J40" s="86"/>
      <c r="K40" s="47"/>
      <c r="L40" s="40" cm="1">
        <f t="array" ref="L40">SUMPRODUCT(Tracking[Amount $],--(Tracking[Date]&lt;=Tracking[[#This Row],[Date]]),(Tracking[Type]&lt;&gt;"Income") * (-1) + (Tracking[Type]="Income"), --(Tracking[Payment Type] = "Cash"))</f>
        <v>2142</v>
      </c>
      <c r="M40" s="40" cm="1">
        <f t="array" ref="M40">SUMPRODUCT(Tracking[Amount LBP],--(Tracking[Date]&lt;=Tracking[[#This Row],[Date]]),(Tracking[Type]&lt;&gt;"Income") * (-1) + (Tracking[Type]="Income"), --(Tracking[Payment Type] = "Cash"))</f>
        <v>245000</v>
      </c>
      <c r="N40" s="40" cm="1">
        <f t="array" ref="N40">SUMPRODUCT(Tracking[Amount €],--(Tracking[Date]&lt;=Tracking[[#This Row],[Date]]),(Tracking[Type]&lt;&gt;"Income") * (-1) + (Tracking[Type]="Income"), --(Tracking[Payment Type] = "Cash"))</f>
        <v>6204.07</v>
      </c>
      <c r="O40" s="43" cm="1">
        <f t="array" ref="O40">IF(AND(Tracking[[#This Row],[Type]]="Income", Shift_Late_Income_Status="Active", DAY(Tracking[[#This Row],[Date]])&gt;=Shift_Late_Income_Starting_Day),
DATE(YEAR(Tracking[[#This Row],[Date]]), MONTH(Tracking[[#This Row],[Date]])+1, 1),
Tracking[[#This Row],[Date]])</f>
        <v>46002</v>
      </c>
    </row>
    <row r="41" spans="3:15" hidden="1" x14ac:dyDescent="0.25">
      <c r="C41" s="38">
        <v>46002</v>
      </c>
      <c r="D41" s="38" t="s">
        <v>82</v>
      </c>
      <c r="E41" s="37" t="s">
        <v>27</v>
      </c>
      <c r="F41" s="37" t="s">
        <v>28</v>
      </c>
      <c r="G41" s="37" t="s">
        <v>93</v>
      </c>
      <c r="H41" s="84">
        <v>3</v>
      </c>
      <c r="I41" s="85"/>
      <c r="J41" s="86"/>
      <c r="K41" s="47"/>
      <c r="L41" s="40" cm="1">
        <f t="array" ref="L41">SUMPRODUCT(Tracking[Amount $],--(Tracking[Date]&lt;=Tracking[[#This Row],[Date]]),(Tracking[Type]&lt;&gt;"Income") * (-1) + (Tracking[Type]="Income"), --(Tracking[Payment Type] = "Cash"))</f>
        <v>2142</v>
      </c>
      <c r="M41" s="40" cm="1">
        <f t="array" ref="M41">SUMPRODUCT(Tracking[Amount LBP],--(Tracking[Date]&lt;=Tracking[[#This Row],[Date]]),(Tracking[Type]&lt;&gt;"Income") * (-1) + (Tracking[Type]="Income"), --(Tracking[Payment Type] = "Cash"))</f>
        <v>245000</v>
      </c>
      <c r="N41" s="40" cm="1">
        <f t="array" ref="N41">SUMPRODUCT(Tracking[Amount €],--(Tracking[Date]&lt;=Tracking[[#This Row],[Date]]),(Tracking[Type]&lt;&gt;"Income") * (-1) + (Tracking[Type]="Income"), --(Tracking[Payment Type] = "Cash"))</f>
        <v>6204.07</v>
      </c>
      <c r="O41" s="43" cm="1">
        <f t="array" ref="O41">IF(AND(Tracking[[#This Row],[Type]]="Income", Shift_Late_Income_Status="Active", DAY(Tracking[[#This Row],[Date]])&gt;=Shift_Late_Income_Starting_Day),
DATE(YEAR(Tracking[[#This Row],[Date]]), MONTH(Tracking[[#This Row],[Date]])+1, 1),
Tracking[[#This Row],[Date]])</f>
        <v>46002</v>
      </c>
    </row>
    <row r="42" spans="3:15" hidden="1" x14ac:dyDescent="0.25">
      <c r="C42" s="38">
        <v>46002</v>
      </c>
      <c r="D42" s="38" t="s">
        <v>82</v>
      </c>
      <c r="E42" s="37" t="s">
        <v>27</v>
      </c>
      <c r="F42" s="37" t="s">
        <v>28</v>
      </c>
      <c r="G42" s="37" t="s">
        <v>68</v>
      </c>
      <c r="H42" s="84">
        <v>10</v>
      </c>
      <c r="I42" s="85"/>
      <c r="J42" s="86"/>
      <c r="K42" s="47"/>
      <c r="L42" s="40" cm="1">
        <f t="array" ref="L42">SUMPRODUCT(Tracking[Amount $],--(Tracking[Date]&lt;=Tracking[[#This Row],[Date]]),(Tracking[Type]&lt;&gt;"Income") * (-1) + (Tracking[Type]="Income"), --(Tracking[Payment Type] = "Cash"))</f>
        <v>2142</v>
      </c>
      <c r="M42" s="40" cm="1">
        <f t="array" ref="M42">SUMPRODUCT(Tracking[Amount LBP],--(Tracking[Date]&lt;=Tracking[[#This Row],[Date]]),(Tracking[Type]&lt;&gt;"Income") * (-1) + (Tracking[Type]="Income"), --(Tracking[Payment Type] = "Cash"))</f>
        <v>245000</v>
      </c>
      <c r="N42" s="40" cm="1">
        <f t="array" ref="N42">SUMPRODUCT(Tracking[Amount €],--(Tracking[Date]&lt;=Tracking[[#This Row],[Date]]),(Tracking[Type]&lt;&gt;"Income") * (-1) + (Tracking[Type]="Income"), --(Tracking[Payment Type] = "Cash"))</f>
        <v>6204.07</v>
      </c>
      <c r="O42" s="43" cm="1">
        <f t="array" ref="O42">IF(AND(Tracking[[#This Row],[Type]]="Income", Shift_Late_Income_Status="Active", DAY(Tracking[[#This Row],[Date]])&gt;=Shift_Late_Income_Starting_Day),
DATE(YEAR(Tracking[[#This Row],[Date]]), MONTH(Tracking[[#This Row],[Date]])+1, 1),
Tracking[[#This Row],[Date]])</f>
        <v>46002</v>
      </c>
    </row>
    <row r="43" spans="3:15" hidden="1" x14ac:dyDescent="0.25">
      <c r="C43" s="38">
        <v>46002</v>
      </c>
      <c r="D43" s="38" t="s">
        <v>82</v>
      </c>
      <c r="E43" s="37" t="s">
        <v>27</v>
      </c>
      <c r="F43" s="37" t="s">
        <v>28</v>
      </c>
      <c r="G43" s="37" t="s">
        <v>83</v>
      </c>
      <c r="H43" s="84">
        <v>7.5</v>
      </c>
      <c r="I43" s="85"/>
      <c r="J43" s="86"/>
      <c r="K43" s="47"/>
      <c r="L43" s="40" cm="1">
        <f t="array" ref="L43">SUMPRODUCT(Tracking[Amount $],--(Tracking[Date]&lt;=Tracking[[#This Row],[Date]]),(Tracking[Type]&lt;&gt;"Income") * (-1) + (Tracking[Type]="Income"), --(Tracking[Payment Type] = "Cash"))</f>
        <v>2142</v>
      </c>
      <c r="M43" s="40" cm="1">
        <f t="array" ref="M43">SUMPRODUCT(Tracking[Amount LBP],--(Tracking[Date]&lt;=Tracking[[#This Row],[Date]]),(Tracking[Type]&lt;&gt;"Income") * (-1) + (Tracking[Type]="Income"), --(Tracking[Payment Type] = "Cash"))</f>
        <v>245000</v>
      </c>
      <c r="N43" s="40" cm="1">
        <f t="array" ref="N43">SUMPRODUCT(Tracking[Amount €],--(Tracking[Date]&lt;=Tracking[[#This Row],[Date]]),(Tracking[Type]&lt;&gt;"Income") * (-1) + (Tracking[Type]="Income"), --(Tracking[Payment Type] = "Cash"))</f>
        <v>6204.07</v>
      </c>
      <c r="O43" s="43" cm="1">
        <f t="array" ref="O43">IF(AND(Tracking[[#This Row],[Type]]="Income", Shift_Late_Income_Status="Active", DAY(Tracking[[#This Row],[Date]])&gt;=Shift_Late_Income_Starting_Day),
DATE(YEAR(Tracking[[#This Row],[Date]]), MONTH(Tracking[[#This Row],[Date]])+1, 1),
Tracking[[#This Row],[Date]])</f>
        <v>46002</v>
      </c>
    </row>
    <row r="44" spans="3:15" hidden="1" x14ac:dyDescent="0.25">
      <c r="C44" s="38">
        <v>46002</v>
      </c>
      <c r="D44" s="38" t="s">
        <v>82</v>
      </c>
      <c r="E44" s="37" t="s">
        <v>27</v>
      </c>
      <c r="F44" s="37" t="s">
        <v>46</v>
      </c>
      <c r="G44" s="37" t="s">
        <v>72</v>
      </c>
      <c r="H44" s="84">
        <v>-100</v>
      </c>
      <c r="I44" s="85"/>
      <c r="J44" s="86"/>
      <c r="K44" s="47"/>
      <c r="L44" s="40" cm="1">
        <f t="array" ref="L44">SUMPRODUCT(Tracking[Amount $],--(Tracking[Date]&lt;=Tracking[[#This Row],[Date]]),(Tracking[Type]&lt;&gt;"Income") * (-1) + (Tracking[Type]="Income"), --(Tracking[Payment Type] = "Cash"))</f>
        <v>2142</v>
      </c>
      <c r="M44" s="40" cm="1">
        <f t="array" ref="M44">SUMPRODUCT(Tracking[Amount LBP],--(Tracking[Date]&lt;=Tracking[[#This Row],[Date]]),(Tracking[Type]&lt;&gt;"Income") * (-1) + (Tracking[Type]="Income"), --(Tracking[Payment Type] = "Cash"))</f>
        <v>245000</v>
      </c>
      <c r="N44" s="40" cm="1">
        <f t="array" ref="N44">SUMPRODUCT(Tracking[Amount €],--(Tracking[Date]&lt;=Tracking[[#This Row],[Date]]),(Tracking[Type]&lt;&gt;"Income") * (-1) + (Tracking[Type]="Income"), --(Tracking[Payment Type] = "Cash"))</f>
        <v>6204.07</v>
      </c>
      <c r="O44" s="43" cm="1">
        <f t="array" ref="O44">IF(AND(Tracking[[#This Row],[Type]]="Income", Shift_Late_Income_Status="Active", DAY(Tracking[[#This Row],[Date]])&gt;=Shift_Late_Income_Starting_Day),
DATE(YEAR(Tracking[[#This Row],[Date]]), MONTH(Tracking[[#This Row],[Date]])+1, 1),
Tracking[[#This Row],[Date]])</f>
        <v>46002</v>
      </c>
    </row>
    <row r="45" spans="3:15" hidden="1" x14ac:dyDescent="0.25">
      <c r="C45" s="38">
        <v>46003</v>
      </c>
      <c r="D45" s="38" t="s">
        <v>16</v>
      </c>
      <c r="E45" s="37" t="s">
        <v>27</v>
      </c>
      <c r="F45" s="37" t="s">
        <v>30</v>
      </c>
      <c r="G45" s="37" t="s">
        <v>94</v>
      </c>
      <c r="H45" s="84"/>
      <c r="I45" s="85">
        <v>400000</v>
      </c>
      <c r="J45" s="86"/>
      <c r="K45" s="47"/>
      <c r="L45" s="40" cm="1">
        <f t="array" ref="L45">SUMPRODUCT(Tracking[Amount $],--(Tracking[Date]&lt;=Tracking[[#This Row],[Date]]),(Tracking[Type]&lt;&gt;"Income") * (-1) + (Tracking[Type]="Income"), --(Tracking[Payment Type] = "Cash"))</f>
        <v>2142</v>
      </c>
      <c r="M45" s="40" cm="1">
        <f t="array" ref="M45">SUMPRODUCT(Tracking[Amount LBP],--(Tracking[Date]&lt;=Tracking[[#This Row],[Date]]),(Tracking[Type]&lt;&gt;"Income") * (-1) + (Tracking[Type]="Income"), --(Tracking[Payment Type] = "Cash"))</f>
        <v>-155000</v>
      </c>
      <c r="N45" s="40" cm="1">
        <f t="array" ref="N45">SUMPRODUCT(Tracking[Amount €],--(Tracking[Date]&lt;=Tracking[[#This Row],[Date]]),(Tracking[Type]&lt;&gt;"Income") * (-1) + (Tracking[Type]="Income"), --(Tracking[Payment Type] = "Cash"))</f>
        <v>6204.07</v>
      </c>
      <c r="O45" s="43" cm="1">
        <f t="array" ref="O45">IF(AND(Tracking[[#This Row],[Type]]="Income", Shift_Late_Income_Status="Active", DAY(Tracking[[#This Row],[Date]])&gt;=Shift_Late_Income_Starting_Day),
DATE(YEAR(Tracking[[#This Row],[Date]]), MONTH(Tracking[[#This Row],[Date]])+1, 1),
Tracking[[#This Row],[Date]])</f>
        <v>46003</v>
      </c>
    </row>
    <row r="46" spans="3:15" hidden="1" x14ac:dyDescent="0.25">
      <c r="C46" s="38">
        <v>46004</v>
      </c>
      <c r="D46" s="38" t="s">
        <v>16</v>
      </c>
      <c r="E46" s="37" t="s">
        <v>27</v>
      </c>
      <c r="F46" s="37" t="s">
        <v>29</v>
      </c>
      <c r="G46" s="37" t="s">
        <v>95</v>
      </c>
      <c r="H46" s="84">
        <f>12+10+5</f>
        <v>27</v>
      </c>
      <c r="I46" s="85">
        <f>-300000-415000</f>
        <v>-715000</v>
      </c>
      <c r="J46" s="86"/>
      <c r="K46" s="47"/>
      <c r="L46" s="40" cm="1">
        <f t="array" ref="L46">SUMPRODUCT(Tracking[Amount $],--(Tracking[Date]&lt;=Tracking[[#This Row],[Date]]),(Tracking[Type]&lt;&gt;"Income") * (-1) + (Tracking[Type]="Income"), --(Tracking[Payment Type] = "Cash"))</f>
        <v>2115</v>
      </c>
      <c r="M46" s="40" cm="1">
        <f t="array" ref="M46">SUMPRODUCT(Tracking[Amount LBP],--(Tracking[Date]&lt;=Tracking[[#This Row],[Date]]),(Tracking[Type]&lt;&gt;"Income") * (-1) + (Tracking[Type]="Income"), --(Tracking[Payment Type] = "Cash"))</f>
        <v>560000</v>
      </c>
      <c r="N46" s="40" cm="1">
        <f t="array" ref="N46">SUMPRODUCT(Tracking[Amount €],--(Tracking[Date]&lt;=Tracking[[#This Row],[Date]]),(Tracking[Type]&lt;&gt;"Income") * (-1) + (Tracking[Type]="Income"), --(Tracking[Payment Type] = "Cash"))</f>
        <v>6204.07</v>
      </c>
      <c r="O46" s="43" cm="1">
        <f t="array" ref="O46">IF(AND(Tracking[[#This Row],[Type]]="Income", Shift_Late_Income_Status="Active", DAY(Tracking[[#This Row],[Date]])&gt;=Shift_Late_Income_Starting_Day),
DATE(YEAR(Tracking[[#This Row],[Date]]), MONTH(Tracking[[#This Row],[Date]])+1, 1),
Tracking[[#This Row],[Date]])</f>
        <v>46004</v>
      </c>
    </row>
    <row r="47" spans="3:15" hidden="1" x14ac:dyDescent="0.25">
      <c r="C47" s="38">
        <v>46005</v>
      </c>
      <c r="D47" s="38" t="s">
        <v>16</v>
      </c>
      <c r="E47" s="37" t="s">
        <v>27</v>
      </c>
      <c r="F47" s="37" t="s">
        <v>29</v>
      </c>
      <c r="G47" s="37" t="s">
        <v>96</v>
      </c>
      <c r="H47" s="84">
        <v>20</v>
      </c>
      <c r="I47" s="85">
        <v>-70000</v>
      </c>
      <c r="J47" s="86"/>
      <c r="K47" s="47"/>
      <c r="L47" s="40" cm="1">
        <f t="array" ref="L47">SUMPRODUCT(Tracking[Amount $],--(Tracking[Date]&lt;=Tracking[[#This Row],[Date]]),(Tracking[Type]&lt;&gt;"Income") * (-1) + (Tracking[Type]="Income"), --(Tracking[Payment Type] = "Cash"))</f>
        <v>2095</v>
      </c>
      <c r="M47" s="40" cm="1">
        <f t="array" ref="M47">SUMPRODUCT(Tracking[Amount LBP],--(Tracking[Date]&lt;=Tracking[[#This Row],[Date]]),(Tracking[Type]&lt;&gt;"Income") * (-1) + (Tracking[Type]="Income"), --(Tracking[Payment Type] = "Cash"))</f>
        <v>630000</v>
      </c>
      <c r="N47" s="40" cm="1">
        <f t="array" ref="N47">SUMPRODUCT(Tracking[Amount €],--(Tracking[Date]&lt;=Tracking[[#This Row],[Date]]),(Tracking[Type]&lt;&gt;"Income") * (-1) + (Tracking[Type]="Income"), --(Tracking[Payment Type] = "Cash"))</f>
        <v>6204.07</v>
      </c>
      <c r="O47" s="43" cm="1">
        <f t="array" ref="O47">IF(AND(Tracking[[#This Row],[Type]]="Income", Shift_Late_Income_Status="Active", DAY(Tracking[[#This Row],[Date]])&gt;=Shift_Late_Income_Starting_Day),
DATE(YEAR(Tracking[[#This Row],[Date]]), MONTH(Tracking[[#This Row],[Date]])+1, 1),
Tracking[[#This Row],[Date]])</f>
        <v>46005</v>
      </c>
    </row>
    <row r="48" spans="3:15" hidden="1" x14ac:dyDescent="0.25">
      <c r="C48" s="38">
        <v>46006</v>
      </c>
      <c r="D48" s="38" t="s">
        <v>16</v>
      </c>
      <c r="E48" s="37" t="s">
        <v>27</v>
      </c>
      <c r="F48" s="37" t="s">
        <v>34</v>
      </c>
      <c r="G48" s="37" t="s">
        <v>79</v>
      </c>
      <c r="H48" s="84">
        <v>10</v>
      </c>
      <c r="I48" s="85">
        <v>200000</v>
      </c>
      <c r="J48" s="86"/>
      <c r="K48" s="47"/>
      <c r="L48" s="40" cm="1">
        <f t="array" ref="L48">SUMPRODUCT(Tracking[Amount $],--(Tracking[Date]&lt;=Tracking[[#This Row],[Date]]),(Tracking[Type]&lt;&gt;"Income") * (-1) + (Tracking[Type]="Income"), --(Tracking[Payment Type] = "Cash"))</f>
        <v>2085</v>
      </c>
      <c r="M48" s="40" cm="1">
        <f t="array" ref="M48">SUMPRODUCT(Tracking[Amount LBP],--(Tracking[Date]&lt;=Tracking[[#This Row],[Date]]),(Tracking[Type]&lt;&gt;"Income") * (-1) + (Tracking[Type]="Income"), --(Tracking[Payment Type] = "Cash"))</f>
        <v>430000</v>
      </c>
      <c r="N48" s="40" cm="1">
        <f t="array" ref="N48">SUMPRODUCT(Tracking[Amount €],--(Tracking[Date]&lt;=Tracking[[#This Row],[Date]]),(Tracking[Type]&lt;&gt;"Income") * (-1) + (Tracking[Type]="Income"), --(Tracking[Payment Type] = "Cash"))</f>
        <v>6204.07</v>
      </c>
      <c r="O48" s="43" cm="1">
        <f t="array" ref="O48">IF(AND(Tracking[[#This Row],[Type]]="Income", Shift_Late_Income_Status="Active", DAY(Tracking[[#This Row],[Date]])&gt;=Shift_Late_Income_Starting_Day),
DATE(YEAR(Tracking[[#This Row],[Date]]), MONTH(Tracking[[#This Row],[Date]])+1, 1),
Tracking[[#This Row],[Date]])</f>
        <v>46006</v>
      </c>
    </row>
    <row r="49" spans="3:15" hidden="1" x14ac:dyDescent="0.25">
      <c r="C49" s="38">
        <v>46007</v>
      </c>
      <c r="D49" s="38" t="s">
        <v>16</v>
      </c>
      <c r="E49" s="37" t="s">
        <v>27</v>
      </c>
      <c r="F49" s="37" t="s">
        <v>33</v>
      </c>
      <c r="G49" s="37" t="s">
        <v>71</v>
      </c>
      <c r="H49" s="84">
        <v>20</v>
      </c>
      <c r="I49" s="85"/>
      <c r="J49" s="86"/>
      <c r="K49" s="47"/>
      <c r="L49" s="40" cm="1">
        <f t="array" ref="L49">SUMPRODUCT(Tracking[Amount $],--(Tracking[Date]&lt;=Tracking[[#This Row],[Date]]),(Tracking[Type]&lt;&gt;"Income") * (-1) + (Tracking[Type]="Income"), --(Tracking[Payment Type] = "Cash"))</f>
        <v>2065</v>
      </c>
      <c r="M49" s="40" cm="1">
        <f t="array" ref="M49">SUMPRODUCT(Tracking[Amount LBP],--(Tracking[Date]&lt;=Tracking[[#This Row],[Date]]),(Tracking[Type]&lt;&gt;"Income") * (-1) + (Tracking[Type]="Income"), --(Tracking[Payment Type] = "Cash"))</f>
        <v>430000</v>
      </c>
      <c r="N49" s="40" cm="1">
        <f t="array" ref="N49">SUMPRODUCT(Tracking[Amount €],--(Tracking[Date]&lt;=Tracking[[#This Row],[Date]]),(Tracking[Type]&lt;&gt;"Income") * (-1) + (Tracking[Type]="Income"), --(Tracking[Payment Type] = "Cash"))</f>
        <v>6204.07</v>
      </c>
      <c r="O49" s="43" cm="1">
        <f t="array" ref="O49">IF(AND(Tracking[[#This Row],[Type]]="Income", Shift_Late_Income_Status="Active", DAY(Tracking[[#This Row],[Date]])&gt;=Shift_Late_Income_Starting_Day),
DATE(YEAR(Tracking[[#This Row],[Date]]), MONTH(Tracking[[#This Row],[Date]])+1, 1),
Tracking[[#This Row],[Date]])</f>
        <v>46007</v>
      </c>
    </row>
    <row r="50" spans="3:15" hidden="1" x14ac:dyDescent="0.25">
      <c r="C50" s="38">
        <v>46008</v>
      </c>
      <c r="D50" s="38" t="s">
        <v>16</v>
      </c>
      <c r="E50" s="37" t="s">
        <v>27</v>
      </c>
      <c r="F50" s="37" t="s">
        <v>30</v>
      </c>
      <c r="G50" s="37" t="s">
        <v>94</v>
      </c>
      <c r="H50" s="84">
        <v>5</v>
      </c>
      <c r="I50" s="85"/>
      <c r="J50" s="86"/>
      <c r="K50" s="47"/>
      <c r="L50" s="40" cm="1">
        <f t="array" ref="L50">SUMPRODUCT(Tracking[Amount $],--(Tracking[Date]&lt;=Tracking[[#This Row],[Date]]),(Tracking[Type]&lt;&gt;"Income") * (-1) + (Tracking[Type]="Income"), --(Tracking[Payment Type] = "Cash"))</f>
        <v>2060</v>
      </c>
      <c r="M50" s="40" cm="1">
        <f t="array" ref="M50">SUMPRODUCT(Tracking[Amount LBP],--(Tracking[Date]&lt;=Tracking[[#This Row],[Date]]),(Tracking[Type]&lt;&gt;"Income") * (-1) + (Tracking[Type]="Income"), --(Tracking[Payment Type] = "Cash"))</f>
        <v>430000</v>
      </c>
      <c r="N50" s="40" cm="1">
        <f t="array" ref="N50">SUMPRODUCT(Tracking[Amount €],--(Tracking[Date]&lt;=Tracking[[#This Row],[Date]]),(Tracking[Type]&lt;&gt;"Income") * (-1) + (Tracking[Type]="Income"), --(Tracking[Payment Type] = "Cash"))</f>
        <v>6204.07</v>
      </c>
      <c r="O50" s="43" cm="1">
        <f t="array" ref="O50">IF(AND(Tracking[[#This Row],[Type]]="Income", Shift_Late_Income_Status="Active", DAY(Tracking[[#This Row],[Date]])&gt;=Shift_Late_Income_Starting_Day),
DATE(YEAR(Tracking[[#This Row],[Date]]), MONTH(Tracking[[#This Row],[Date]])+1, 1),
Tracking[[#This Row],[Date]])</f>
        <v>46008</v>
      </c>
    </row>
    <row r="51" spans="3:15" hidden="1" x14ac:dyDescent="0.25">
      <c r="C51" s="38">
        <v>46009</v>
      </c>
      <c r="D51" s="38" t="s">
        <v>16</v>
      </c>
      <c r="E51" s="37" t="s">
        <v>27</v>
      </c>
      <c r="F51" s="37" t="s">
        <v>36</v>
      </c>
      <c r="G51" s="37" t="s">
        <v>97</v>
      </c>
      <c r="H51" s="84">
        <v>5</v>
      </c>
      <c r="I51" s="85"/>
      <c r="J51" s="86"/>
      <c r="K51" s="47" t="s">
        <v>98</v>
      </c>
      <c r="L51" s="40" cm="1">
        <f t="array" ref="L51">SUMPRODUCT(Tracking[Amount $],--(Tracking[Date]&lt;=Tracking[[#This Row],[Date]]),(Tracking[Type]&lt;&gt;"Income") * (-1) + (Tracking[Type]="Income"), --(Tracking[Payment Type] = "Cash"))</f>
        <v>2055</v>
      </c>
      <c r="M51" s="40" cm="1">
        <f t="array" ref="M51">SUMPRODUCT(Tracking[Amount LBP],--(Tracking[Date]&lt;=Tracking[[#This Row],[Date]]),(Tracking[Type]&lt;&gt;"Income") * (-1) + (Tracking[Type]="Income"), --(Tracking[Payment Type] = "Cash"))</f>
        <v>430000</v>
      </c>
      <c r="N51" s="40" cm="1">
        <f t="array" ref="N51">SUMPRODUCT(Tracking[Amount €],--(Tracking[Date]&lt;=Tracking[[#This Row],[Date]]),(Tracking[Type]&lt;&gt;"Income") * (-1) + (Tracking[Type]="Income"), --(Tracking[Payment Type] = "Cash"))</f>
        <v>6204.07</v>
      </c>
      <c r="O51" s="43" cm="1">
        <f t="array" ref="O51">IF(AND(Tracking[[#This Row],[Type]]="Income", Shift_Late_Income_Status="Active", DAY(Tracking[[#This Row],[Date]])&gt;=Shift_Late_Income_Starting_Day),
DATE(YEAR(Tracking[[#This Row],[Date]]), MONTH(Tracking[[#This Row],[Date]])+1, 1),
Tracking[[#This Row],[Date]])</f>
        <v>46009</v>
      </c>
    </row>
    <row r="52" spans="3:15" hidden="1" x14ac:dyDescent="0.25">
      <c r="C52" s="38">
        <v>46010</v>
      </c>
      <c r="D52" s="38" t="s">
        <v>82</v>
      </c>
      <c r="E52" s="37" t="s">
        <v>27</v>
      </c>
      <c r="F52" s="37" t="s">
        <v>29</v>
      </c>
      <c r="G52" s="37" t="s">
        <v>99</v>
      </c>
      <c r="H52" s="84">
        <v>5</v>
      </c>
      <c r="I52" s="85"/>
      <c r="J52" s="86"/>
      <c r="K52" s="47"/>
      <c r="L52" s="40" cm="1">
        <f t="array" ref="L52">SUMPRODUCT(Tracking[Amount $],--(Tracking[Date]&lt;=Tracking[[#This Row],[Date]]),(Tracking[Type]&lt;&gt;"Income") * (-1) + (Tracking[Type]="Income"), --(Tracking[Payment Type] = "Cash"))</f>
        <v>2055</v>
      </c>
      <c r="M52" s="40" cm="1">
        <f t="array" ref="M52">SUMPRODUCT(Tracking[Amount LBP],--(Tracking[Date]&lt;=Tracking[[#This Row],[Date]]),(Tracking[Type]&lt;&gt;"Income") * (-1) + (Tracking[Type]="Income"), --(Tracking[Payment Type] = "Cash"))</f>
        <v>430000</v>
      </c>
      <c r="N52" s="40" cm="1">
        <f t="array" ref="N52">SUMPRODUCT(Tracking[Amount €],--(Tracking[Date]&lt;=Tracking[[#This Row],[Date]]),(Tracking[Type]&lt;&gt;"Income") * (-1) + (Tracking[Type]="Income"), --(Tracking[Payment Type] = "Cash"))</f>
        <v>6204.07</v>
      </c>
      <c r="O52" s="43" cm="1">
        <f t="array" ref="O52">IF(AND(Tracking[[#This Row],[Type]]="Income", Shift_Late_Income_Status="Active", DAY(Tracking[[#This Row],[Date]])&gt;=Shift_Late_Income_Starting_Day),
DATE(YEAR(Tracking[[#This Row],[Date]]), MONTH(Tracking[[#This Row],[Date]])+1, 1),
Tracking[[#This Row],[Date]])</f>
        <v>46010</v>
      </c>
    </row>
    <row r="53" spans="3:15" hidden="1" x14ac:dyDescent="0.25">
      <c r="C53" s="38">
        <v>46011</v>
      </c>
      <c r="D53" s="38" t="s">
        <v>16</v>
      </c>
      <c r="E53" s="37" t="s">
        <v>27</v>
      </c>
      <c r="F53" s="37" t="s">
        <v>47</v>
      </c>
      <c r="G53" s="37" t="s">
        <v>100</v>
      </c>
      <c r="H53" s="84">
        <v>100</v>
      </c>
      <c r="I53" s="85"/>
      <c r="J53" s="86"/>
      <c r="K53" s="47"/>
      <c r="L53" s="40" cm="1">
        <f t="array" ref="L53">SUMPRODUCT(Tracking[Amount $],--(Tracking[Date]&lt;=Tracking[[#This Row],[Date]]),(Tracking[Type]&lt;&gt;"Income") * (-1) + (Tracking[Type]="Income"), --(Tracking[Payment Type] = "Cash"))</f>
        <v>1955</v>
      </c>
      <c r="M53" s="40" cm="1">
        <f t="array" ref="M53">SUMPRODUCT(Tracking[Amount LBP],--(Tracking[Date]&lt;=Tracking[[#This Row],[Date]]),(Tracking[Type]&lt;&gt;"Income") * (-1) + (Tracking[Type]="Income"), --(Tracking[Payment Type] = "Cash"))</f>
        <v>430000</v>
      </c>
      <c r="N53" s="40" cm="1">
        <f t="array" ref="N53">SUMPRODUCT(Tracking[Amount €],--(Tracking[Date]&lt;=Tracking[[#This Row],[Date]]),(Tracking[Type]&lt;&gt;"Income") * (-1) + (Tracking[Type]="Income"), --(Tracking[Payment Type] = "Cash"))</f>
        <v>6204.07</v>
      </c>
      <c r="O53" s="43" cm="1">
        <f t="array" ref="O53">IF(AND(Tracking[[#This Row],[Type]]="Income", Shift_Late_Income_Status="Active", DAY(Tracking[[#This Row],[Date]])&gt;=Shift_Late_Income_Starting_Day),
DATE(YEAR(Tracking[[#This Row],[Date]]), MONTH(Tracking[[#This Row],[Date]])+1, 1),
Tracking[[#This Row],[Date]])</f>
        <v>46011</v>
      </c>
    </row>
    <row r="54" spans="3:15" hidden="1" x14ac:dyDescent="0.25">
      <c r="C54" s="38">
        <v>46012</v>
      </c>
      <c r="D54" s="38" t="s">
        <v>82</v>
      </c>
      <c r="E54" s="37" t="s">
        <v>27</v>
      </c>
      <c r="F54" s="37" t="s">
        <v>47</v>
      </c>
      <c r="G54" s="37" t="s">
        <v>100</v>
      </c>
      <c r="H54" s="84">
        <v>-100</v>
      </c>
      <c r="I54" s="85"/>
      <c r="J54" s="86"/>
      <c r="K54" s="47"/>
      <c r="L54" s="40" cm="1">
        <f t="array" ref="L54">SUMPRODUCT(Tracking[Amount $],--(Tracking[Date]&lt;=Tracking[[#This Row],[Date]]),(Tracking[Type]&lt;&gt;"Income") * (-1) + (Tracking[Type]="Income"), --(Tracking[Payment Type] = "Cash"))</f>
        <v>1955</v>
      </c>
      <c r="M54" s="40" cm="1">
        <f t="array" ref="M54">SUMPRODUCT(Tracking[Amount LBP],--(Tracking[Date]&lt;=Tracking[[#This Row],[Date]]),(Tracking[Type]&lt;&gt;"Income") * (-1) + (Tracking[Type]="Income"), --(Tracking[Payment Type] = "Cash"))</f>
        <v>430000</v>
      </c>
      <c r="N54" s="40" cm="1">
        <f t="array" ref="N54">SUMPRODUCT(Tracking[Amount €],--(Tracking[Date]&lt;=Tracking[[#This Row],[Date]]),(Tracking[Type]&lt;&gt;"Income") * (-1) + (Tracking[Type]="Income"), --(Tracking[Payment Type] = "Cash"))</f>
        <v>6204.07</v>
      </c>
      <c r="O54" s="43" cm="1">
        <f t="array" ref="O54">IF(AND(Tracking[[#This Row],[Type]]="Income", Shift_Late_Income_Status="Active", DAY(Tracking[[#This Row],[Date]])&gt;=Shift_Late_Income_Starting_Day),
DATE(YEAR(Tracking[[#This Row],[Date]]), MONTH(Tracking[[#This Row],[Date]])+1, 1),
Tracking[[#This Row],[Date]])</f>
        <v>46012</v>
      </c>
    </row>
    <row r="55" spans="3:15" hidden="1" x14ac:dyDescent="0.25">
      <c r="C55" s="38">
        <v>46013</v>
      </c>
      <c r="D55" s="38" t="s">
        <v>16</v>
      </c>
      <c r="E55" s="37" t="s">
        <v>27</v>
      </c>
      <c r="F55" s="37" t="s">
        <v>28</v>
      </c>
      <c r="G55" s="37" t="s">
        <v>84</v>
      </c>
      <c r="H55" s="84">
        <v>20</v>
      </c>
      <c r="I55" s="85"/>
      <c r="J55" s="86"/>
      <c r="K55" s="47"/>
      <c r="L55" s="40" cm="1">
        <f t="array" ref="L55">SUMPRODUCT(Tracking[Amount $],--(Tracking[Date]&lt;=Tracking[[#This Row],[Date]]),(Tracking[Type]&lt;&gt;"Income") * (-1) + (Tracking[Type]="Income"), --(Tracking[Payment Type] = "Cash"))</f>
        <v>1935</v>
      </c>
      <c r="M55" s="40" cm="1">
        <f t="array" ref="M55">SUMPRODUCT(Tracking[Amount LBP],--(Tracking[Date]&lt;=Tracking[[#This Row],[Date]]),(Tracking[Type]&lt;&gt;"Income") * (-1) + (Tracking[Type]="Income"), --(Tracking[Payment Type] = "Cash"))</f>
        <v>430000</v>
      </c>
      <c r="N55" s="40" cm="1">
        <f t="array" ref="N55">SUMPRODUCT(Tracking[Amount €],--(Tracking[Date]&lt;=Tracking[[#This Row],[Date]]),(Tracking[Type]&lt;&gt;"Income") * (-1) + (Tracking[Type]="Income"), --(Tracking[Payment Type] = "Cash"))</f>
        <v>6204.07</v>
      </c>
      <c r="O55" s="43" cm="1">
        <f t="array" ref="O55">IF(AND(Tracking[[#This Row],[Type]]="Income", Shift_Late_Income_Status="Active", DAY(Tracking[[#This Row],[Date]])&gt;=Shift_Late_Income_Starting_Day),
DATE(YEAR(Tracking[[#This Row],[Date]]), MONTH(Tracking[[#This Row],[Date]])+1, 1),
Tracking[[#This Row],[Date]])</f>
        <v>46013</v>
      </c>
    </row>
    <row r="56" spans="3:15" hidden="1" x14ac:dyDescent="0.25">
      <c r="C56" s="38">
        <v>46014</v>
      </c>
      <c r="D56" s="38" t="s">
        <v>16</v>
      </c>
      <c r="E56" s="37" t="s">
        <v>27</v>
      </c>
      <c r="F56" s="37" t="s">
        <v>33</v>
      </c>
      <c r="G56" s="37" t="s">
        <v>71</v>
      </c>
      <c r="H56" s="84">
        <v>20</v>
      </c>
      <c r="I56" s="85"/>
      <c r="J56" s="86"/>
      <c r="K56" s="47"/>
      <c r="L56" s="40" cm="1">
        <f t="array" ref="L56">SUMPRODUCT(Tracking[Amount $],--(Tracking[Date]&lt;=Tracking[[#This Row],[Date]]),(Tracking[Type]&lt;&gt;"Income") * (-1) + (Tracking[Type]="Income"), --(Tracking[Payment Type] = "Cash"))</f>
        <v>1457</v>
      </c>
      <c r="M56" s="40" cm="1">
        <f t="array" ref="M56">SUMPRODUCT(Tracking[Amount LBP],--(Tracking[Date]&lt;=Tracking[[#This Row],[Date]]),(Tracking[Type]&lt;&gt;"Income") * (-1) + (Tracking[Type]="Income"), --(Tracking[Payment Type] = "Cash"))</f>
        <v>580000</v>
      </c>
      <c r="N56" s="40" cm="1">
        <f t="array" ref="N56">SUMPRODUCT(Tracking[Amount €],--(Tracking[Date]&lt;=Tracking[[#This Row],[Date]]),(Tracking[Type]&lt;&gt;"Income") * (-1) + (Tracking[Type]="Income"), --(Tracking[Payment Type] = "Cash"))</f>
        <v>6204.07</v>
      </c>
      <c r="O56" s="43" cm="1">
        <f t="array" ref="O56">IF(AND(Tracking[[#This Row],[Type]]="Income", Shift_Late_Income_Status="Active", DAY(Tracking[[#This Row],[Date]])&gt;=Shift_Late_Income_Starting_Day),
DATE(YEAR(Tracking[[#This Row],[Date]]), MONTH(Tracking[[#This Row],[Date]])+1, 1),
Tracking[[#This Row],[Date]])</f>
        <v>46014</v>
      </c>
    </row>
    <row r="57" spans="3:15" hidden="1" x14ac:dyDescent="0.25">
      <c r="C57" s="38">
        <v>46014</v>
      </c>
      <c r="D57" s="38" t="s">
        <v>16</v>
      </c>
      <c r="E57" s="37" t="s">
        <v>27</v>
      </c>
      <c r="F57" s="37" t="s">
        <v>30</v>
      </c>
      <c r="G57" s="37" t="s">
        <v>94</v>
      </c>
      <c r="H57" s="84"/>
      <c r="I57" s="85">
        <v>100000</v>
      </c>
      <c r="J57" s="86"/>
      <c r="K57" s="47"/>
      <c r="L57" s="40" cm="1">
        <f t="array" ref="L57">SUMPRODUCT(Tracking[Amount $],--(Tracking[Date]&lt;=Tracking[[#This Row],[Date]]),(Tracking[Type]&lt;&gt;"Income") * (-1) + (Tracking[Type]="Income"), --(Tracking[Payment Type] = "Cash"))</f>
        <v>1457</v>
      </c>
      <c r="M57" s="40" cm="1">
        <f t="array" ref="M57">SUMPRODUCT(Tracking[Amount LBP],--(Tracking[Date]&lt;=Tracking[[#This Row],[Date]]),(Tracking[Type]&lt;&gt;"Income") * (-1) + (Tracking[Type]="Income"), --(Tracking[Payment Type] = "Cash"))</f>
        <v>580000</v>
      </c>
      <c r="N57" s="40" cm="1">
        <f t="array" ref="N57">SUMPRODUCT(Tracking[Amount €],--(Tracking[Date]&lt;=Tracking[[#This Row],[Date]]),(Tracking[Type]&lt;&gt;"Income") * (-1) + (Tracking[Type]="Income"), --(Tracking[Payment Type] = "Cash"))</f>
        <v>6204.07</v>
      </c>
      <c r="O57" s="43" cm="1">
        <f t="array" ref="O57">IF(AND(Tracking[[#This Row],[Type]]="Income", Shift_Late_Income_Status="Active", DAY(Tracking[[#This Row],[Date]])&gt;=Shift_Late_Income_Starting_Day),
DATE(YEAR(Tracking[[#This Row],[Date]]), MONTH(Tracking[[#This Row],[Date]])+1, 1),
Tracking[[#This Row],[Date]])</f>
        <v>46014</v>
      </c>
    </row>
    <row r="58" spans="3:15" hidden="1" x14ac:dyDescent="0.25">
      <c r="C58" s="38">
        <v>46014</v>
      </c>
      <c r="D58" s="38" t="s">
        <v>16</v>
      </c>
      <c r="E58" s="37" t="s">
        <v>27</v>
      </c>
      <c r="F58" s="37" t="s">
        <v>28</v>
      </c>
      <c r="G58" s="37" t="s">
        <v>101</v>
      </c>
      <c r="H58" s="84">
        <v>0</v>
      </c>
      <c r="I58" s="85">
        <v>0</v>
      </c>
      <c r="J58" s="86"/>
      <c r="K58" s="47"/>
      <c r="L58" s="40" cm="1">
        <f t="array" ref="L58">SUMPRODUCT(Tracking[Amount $],--(Tracking[Date]&lt;=Tracking[[#This Row],[Date]]),(Tracking[Type]&lt;&gt;"Income") * (-1) + (Tracking[Type]="Income"), --(Tracking[Payment Type] = "Cash"))</f>
        <v>1457</v>
      </c>
      <c r="M58" s="40" cm="1">
        <f t="array" ref="M58">SUMPRODUCT(Tracking[Amount LBP],--(Tracking[Date]&lt;=Tracking[[#This Row],[Date]]),(Tracking[Type]&lt;&gt;"Income") * (-1) + (Tracking[Type]="Income"), --(Tracking[Payment Type] = "Cash"))</f>
        <v>580000</v>
      </c>
      <c r="N58" s="40" cm="1">
        <f t="array" ref="N58">SUMPRODUCT(Tracking[Amount €],--(Tracking[Date]&lt;=Tracking[[#This Row],[Date]]),(Tracking[Type]&lt;&gt;"Income") * (-1) + (Tracking[Type]="Income"), --(Tracking[Payment Type] = "Cash"))</f>
        <v>6204.07</v>
      </c>
      <c r="O58" s="43" cm="1">
        <f t="array" ref="O58">IF(AND(Tracking[[#This Row],[Type]]="Income", Shift_Late_Income_Status="Active", DAY(Tracking[[#This Row],[Date]])&gt;=Shift_Late_Income_Starting_Day),
DATE(YEAR(Tracking[[#This Row],[Date]]), MONTH(Tracking[[#This Row],[Date]])+1, 1),
Tracking[[#This Row],[Date]])</f>
        <v>46014</v>
      </c>
    </row>
    <row r="59" spans="3:15" hidden="1" x14ac:dyDescent="0.25">
      <c r="C59" s="38">
        <v>46014</v>
      </c>
      <c r="D59" s="38" t="s">
        <v>16</v>
      </c>
      <c r="E59" s="37" t="s">
        <v>27</v>
      </c>
      <c r="F59" s="37" t="s">
        <v>47</v>
      </c>
      <c r="G59" s="37" t="s">
        <v>100</v>
      </c>
      <c r="H59" s="84">
        <v>5</v>
      </c>
      <c r="I59" s="85"/>
      <c r="J59" s="86"/>
      <c r="K59" s="47"/>
      <c r="L59" s="40" cm="1">
        <f t="array" ref="L59">SUMPRODUCT(Tracking[Amount $],--(Tracking[Date]&lt;=Tracking[[#This Row],[Date]]),(Tracking[Type]&lt;&gt;"Income") * (-1) + (Tracking[Type]="Income"), --(Tracking[Payment Type] = "Cash"))</f>
        <v>1457</v>
      </c>
      <c r="M59" s="40" cm="1">
        <f t="array" ref="M59">SUMPRODUCT(Tracking[Amount LBP],--(Tracking[Date]&lt;=Tracking[[#This Row],[Date]]),(Tracking[Type]&lt;&gt;"Income") * (-1) + (Tracking[Type]="Income"), --(Tracking[Payment Type] = "Cash"))</f>
        <v>580000</v>
      </c>
      <c r="N59" s="40" cm="1">
        <f t="array" ref="N59">SUMPRODUCT(Tracking[Amount €],--(Tracking[Date]&lt;=Tracking[[#This Row],[Date]]),(Tracking[Type]&lt;&gt;"Income") * (-1) + (Tracking[Type]="Income"), --(Tracking[Payment Type] = "Cash"))</f>
        <v>6204.07</v>
      </c>
      <c r="O59" s="43" cm="1">
        <f t="array" ref="O59">IF(AND(Tracking[[#This Row],[Type]]="Income", Shift_Late_Income_Status="Active", DAY(Tracking[[#This Row],[Date]])&gt;=Shift_Late_Income_Starting_Day),
DATE(YEAR(Tracking[[#This Row],[Date]]), MONTH(Tracking[[#This Row],[Date]])+1, 1),
Tracking[[#This Row],[Date]])</f>
        <v>46014</v>
      </c>
    </row>
    <row r="60" spans="3:15" hidden="1" x14ac:dyDescent="0.25">
      <c r="C60" s="38">
        <v>46014</v>
      </c>
      <c r="D60" s="38" t="s">
        <v>16</v>
      </c>
      <c r="E60" s="37" t="s">
        <v>27</v>
      </c>
      <c r="F60" s="37" t="s">
        <v>28</v>
      </c>
      <c r="G60" s="37" t="s">
        <v>102</v>
      </c>
      <c r="H60" s="84">
        <v>5</v>
      </c>
      <c r="I60" s="85">
        <v>225000</v>
      </c>
      <c r="J60" s="86"/>
      <c r="K60" s="47"/>
      <c r="L60" s="40" cm="1">
        <f t="array" ref="L60">SUMPRODUCT(Tracking[Amount $],--(Tracking[Date]&lt;=Tracking[[#This Row],[Date]]),(Tracking[Type]&lt;&gt;"Income") * (-1) + (Tracking[Type]="Income"), --(Tracking[Payment Type] = "Cash"))</f>
        <v>1457</v>
      </c>
      <c r="M60" s="40" cm="1">
        <f t="array" ref="M60">SUMPRODUCT(Tracking[Amount LBP],--(Tracking[Date]&lt;=Tracking[[#This Row],[Date]]),(Tracking[Type]&lt;&gt;"Income") * (-1) + (Tracking[Type]="Income"), --(Tracking[Payment Type] = "Cash"))</f>
        <v>580000</v>
      </c>
      <c r="N60" s="40" cm="1">
        <f t="array" ref="N60">SUMPRODUCT(Tracking[Amount €],--(Tracking[Date]&lt;=Tracking[[#This Row],[Date]]),(Tracking[Type]&lt;&gt;"Income") * (-1) + (Tracking[Type]="Income"), --(Tracking[Payment Type] = "Cash"))</f>
        <v>6204.07</v>
      </c>
      <c r="O60" s="43" cm="1">
        <f t="array" ref="O60">IF(AND(Tracking[[#This Row],[Type]]="Income", Shift_Late_Income_Status="Active", DAY(Tracking[[#This Row],[Date]])&gt;=Shift_Late_Income_Starting_Day),
DATE(YEAR(Tracking[[#This Row],[Date]]), MONTH(Tracking[[#This Row],[Date]])+1, 1),
Tracking[[#This Row],[Date]])</f>
        <v>46014</v>
      </c>
    </row>
    <row r="61" spans="3:15" hidden="1" x14ac:dyDescent="0.25">
      <c r="C61" s="38">
        <v>46014</v>
      </c>
      <c r="D61" s="38" t="s">
        <v>16</v>
      </c>
      <c r="E61" s="37" t="s">
        <v>27</v>
      </c>
      <c r="F61" s="37" t="s">
        <v>28</v>
      </c>
      <c r="G61" s="37" t="s">
        <v>68</v>
      </c>
      <c r="H61" s="84">
        <v>4</v>
      </c>
      <c r="I61" s="85">
        <v>-110000</v>
      </c>
      <c r="J61" s="86"/>
      <c r="K61" s="47"/>
      <c r="L61" s="40" cm="1">
        <f t="array" ref="L61">SUMPRODUCT(Tracking[Amount $],--(Tracking[Date]&lt;=Tracking[[#This Row],[Date]]),(Tracking[Type]&lt;&gt;"Income") * (-1) + (Tracking[Type]="Income"), --(Tracking[Payment Type] = "Cash"))</f>
        <v>1457</v>
      </c>
      <c r="M61" s="40" cm="1">
        <f t="array" ref="M61">SUMPRODUCT(Tracking[Amount LBP],--(Tracking[Date]&lt;=Tracking[[#This Row],[Date]]),(Tracking[Type]&lt;&gt;"Income") * (-1) + (Tracking[Type]="Income"), --(Tracking[Payment Type] = "Cash"))</f>
        <v>580000</v>
      </c>
      <c r="N61" s="40" cm="1">
        <f t="array" ref="N61">SUMPRODUCT(Tracking[Amount €],--(Tracking[Date]&lt;=Tracking[[#This Row],[Date]]),(Tracking[Type]&lt;&gt;"Income") * (-1) + (Tracking[Type]="Income"), --(Tracking[Payment Type] = "Cash"))</f>
        <v>6204.07</v>
      </c>
      <c r="O61" s="43" cm="1">
        <f t="array" ref="O61">IF(AND(Tracking[[#This Row],[Type]]="Income", Shift_Late_Income_Status="Active", DAY(Tracking[[#This Row],[Date]])&gt;=Shift_Late_Income_Starting_Day),
DATE(YEAR(Tracking[[#This Row],[Date]]), MONTH(Tracking[[#This Row],[Date]])+1, 1),
Tracking[[#This Row],[Date]])</f>
        <v>46014</v>
      </c>
    </row>
    <row r="62" spans="3:15" hidden="1" x14ac:dyDescent="0.25">
      <c r="C62" s="38">
        <v>46014</v>
      </c>
      <c r="D62" s="38" t="s">
        <v>16</v>
      </c>
      <c r="E62" s="37" t="s">
        <v>27</v>
      </c>
      <c r="F62" s="37" t="s">
        <v>28</v>
      </c>
      <c r="G62" s="37" t="s">
        <v>103</v>
      </c>
      <c r="H62" s="84"/>
      <c r="I62" s="85">
        <v>300000</v>
      </c>
      <c r="J62" s="86"/>
      <c r="K62" s="47"/>
      <c r="L62" s="40" cm="1">
        <f t="array" ref="L62">SUMPRODUCT(Tracking[Amount $],--(Tracking[Date]&lt;=Tracking[[#This Row],[Date]]),(Tracking[Type]&lt;&gt;"Income") * (-1) + (Tracking[Type]="Income"), --(Tracking[Payment Type] = "Cash"))</f>
        <v>1457</v>
      </c>
      <c r="M62" s="40" cm="1">
        <f t="array" ref="M62">SUMPRODUCT(Tracking[Amount LBP],--(Tracking[Date]&lt;=Tracking[[#This Row],[Date]]),(Tracking[Type]&lt;&gt;"Income") * (-1) + (Tracking[Type]="Income"), --(Tracking[Payment Type] = "Cash"))</f>
        <v>580000</v>
      </c>
      <c r="N62" s="40" cm="1">
        <f t="array" ref="N62">SUMPRODUCT(Tracking[Amount €],--(Tracking[Date]&lt;=Tracking[[#This Row],[Date]]),(Tracking[Type]&lt;&gt;"Income") * (-1) + (Tracking[Type]="Income"), --(Tracking[Payment Type] = "Cash"))</f>
        <v>6204.07</v>
      </c>
      <c r="O62" s="43" cm="1">
        <f t="array" ref="O62">IF(AND(Tracking[[#This Row],[Type]]="Income", Shift_Late_Income_Status="Active", DAY(Tracking[[#This Row],[Date]])&gt;=Shift_Late_Income_Starting_Day),
DATE(YEAR(Tracking[[#This Row],[Date]]), MONTH(Tracking[[#This Row],[Date]])+1, 1),
Tracking[[#This Row],[Date]])</f>
        <v>46014</v>
      </c>
    </row>
    <row r="63" spans="3:15" hidden="1" x14ac:dyDescent="0.25">
      <c r="C63" s="38">
        <v>46014</v>
      </c>
      <c r="D63" s="38" t="s">
        <v>16</v>
      </c>
      <c r="E63" s="37" t="s">
        <v>27</v>
      </c>
      <c r="F63" s="37" t="s">
        <v>28</v>
      </c>
      <c r="G63" s="37" t="s">
        <v>104</v>
      </c>
      <c r="H63" s="84">
        <v>10</v>
      </c>
      <c r="I63" s="85">
        <v>-625000</v>
      </c>
      <c r="J63" s="86"/>
      <c r="K63" s="47"/>
      <c r="L63" s="40" cm="1">
        <f t="array" ref="L63">SUMPRODUCT(Tracking[Amount $],--(Tracking[Date]&lt;=Tracking[[#This Row],[Date]]),(Tracking[Type]&lt;&gt;"Income") * (-1) + (Tracking[Type]="Income"), --(Tracking[Payment Type] = "Cash"))</f>
        <v>1457</v>
      </c>
      <c r="M63" s="40" cm="1">
        <f t="array" ref="M63">SUMPRODUCT(Tracking[Amount LBP],--(Tracking[Date]&lt;=Tracking[[#This Row],[Date]]),(Tracking[Type]&lt;&gt;"Income") * (-1) + (Tracking[Type]="Income"), --(Tracking[Payment Type] = "Cash"))</f>
        <v>580000</v>
      </c>
      <c r="N63" s="40" cm="1">
        <f t="array" ref="N63">SUMPRODUCT(Tracking[Amount €],--(Tracking[Date]&lt;=Tracking[[#This Row],[Date]]),(Tracking[Type]&lt;&gt;"Income") * (-1) + (Tracking[Type]="Income"), --(Tracking[Payment Type] = "Cash"))</f>
        <v>6204.07</v>
      </c>
      <c r="O63" s="43" cm="1">
        <f t="array" ref="O63">IF(AND(Tracking[[#This Row],[Type]]="Income", Shift_Late_Income_Status="Active", DAY(Tracking[[#This Row],[Date]])&gt;=Shift_Late_Income_Starting_Day),
DATE(YEAR(Tracking[[#This Row],[Date]]), MONTH(Tracking[[#This Row],[Date]])+1, 1),
Tracking[[#This Row],[Date]])</f>
        <v>46014</v>
      </c>
    </row>
    <row r="64" spans="3:15" hidden="1" x14ac:dyDescent="0.25">
      <c r="C64" s="38">
        <v>46014</v>
      </c>
      <c r="D64" s="38" t="s">
        <v>16</v>
      </c>
      <c r="E64" s="37" t="s">
        <v>27</v>
      </c>
      <c r="F64" s="37" t="s">
        <v>30</v>
      </c>
      <c r="G64" s="37" t="s">
        <v>94</v>
      </c>
      <c r="H64" s="84">
        <v>5</v>
      </c>
      <c r="I64" s="85">
        <v>-120000</v>
      </c>
      <c r="J64" s="86"/>
      <c r="K64" s="47"/>
      <c r="L64" s="40" cm="1">
        <f t="array" ref="L64">SUMPRODUCT(Tracking[Amount $],--(Tracking[Date]&lt;=Tracking[[#This Row],[Date]]),(Tracking[Type]&lt;&gt;"Income") * (-1) + (Tracking[Type]="Income"), --(Tracking[Payment Type] = "Cash"))</f>
        <v>1457</v>
      </c>
      <c r="M64" s="40" cm="1">
        <f t="array" ref="M64">SUMPRODUCT(Tracking[Amount LBP],--(Tracking[Date]&lt;=Tracking[[#This Row],[Date]]),(Tracking[Type]&lt;&gt;"Income") * (-1) + (Tracking[Type]="Income"), --(Tracking[Payment Type] = "Cash"))</f>
        <v>580000</v>
      </c>
      <c r="N64" s="40" cm="1">
        <f t="array" ref="N64">SUMPRODUCT(Tracking[Amount €],--(Tracking[Date]&lt;=Tracking[[#This Row],[Date]]),(Tracking[Type]&lt;&gt;"Income") * (-1) + (Tracking[Type]="Income"), --(Tracking[Payment Type] = "Cash"))</f>
        <v>6204.07</v>
      </c>
      <c r="O64" s="43" cm="1">
        <f t="array" ref="O64">IF(AND(Tracking[[#This Row],[Type]]="Income", Shift_Late_Income_Status="Active", DAY(Tracking[[#This Row],[Date]])&gt;=Shift_Late_Income_Starting_Day),
DATE(YEAR(Tracking[[#This Row],[Date]]), MONTH(Tracking[[#This Row],[Date]])+1, 1),
Tracking[[#This Row],[Date]])</f>
        <v>46014</v>
      </c>
    </row>
    <row r="65" spans="3:15" hidden="1" x14ac:dyDescent="0.25">
      <c r="C65" s="38">
        <v>46014</v>
      </c>
      <c r="D65" s="38" t="s">
        <v>16</v>
      </c>
      <c r="E65" s="37" t="s">
        <v>27</v>
      </c>
      <c r="F65" s="37" t="s">
        <v>42</v>
      </c>
      <c r="G65" s="37" t="s">
        <v>105</v>
      </c>
      <c r="H65" s="84">
        <v>50</v>
      </c>
      <c r="I65" s="85"/>
      <c r="J65" s="86"/>
      <c r="K65" s="47" t="s">
        <v>106</v>
      </c>
      <c r="L65" s="40" cm="1">
        <f t="array" ref="L65">SUMPRODUCT(Tracking[Amount $],--(Tracking[Date]&lt;=Tracking[[#This Row],[Date]]),(Tracking[Type]&lt;&gt;"Income") * (-1) + (Tracking[Type]="Income"), --(Tracking[Payment Type] = "Cash"))</f>
        <v>1457</v>
      </c>
      <c r="M65" s="40" cm="1">
        <f t="array" ref="M65">SUMPRODUCT(Tracking[Amount LBP],--(Tracking[Date]&lt;=Tracking[[#This Row],[Date]]),(Tracking[Type]&lt;&gt;"Income") * (-1) + (Tracking[Type]="Income"), --(Tracking[Payment Type] = "Cash"))</f>
        <v>580000</v>
      </c>
      <c r="N65" s="40" cm="1">
        <f t="array" ref="N65">SUMPRODUCT(Tracking[Amount €],--(Tracking[Date]&lt;=Tracking[[#This Row],[Date]]),(Tracking[Type]&lt;&gt;"Income") * (-1) + (Tracking[Type]="Income"), --(Tracking[Payment Type] = "Cash"))</f>
        <v>6204.07</v>
      </c>
      <c r="O65" s="43" cm="1">
        <f t="array" ref="O65">IF(AND(Tracking[[#This Row],[Type]]="Income", Shift_Late_Income_Status="Active", DAY(Tracking[[#This Row],[Date]])&gt;=Shift_Late_Income_Starting_Day),
DATE(YEAR(Tracking[[#This Row],[Date]]), MONTH(Tracking[[#This Row],[Date]])+1, 1),
Tracking[[#This Row],[Date]])</f>
        <v>46014</v>
      </c>
    </row>
    <row r="66" spans="3:15" hidden="1" x14ac:dyDescent="0.25">
      <c r="C66" s="38">
        <v>46014</v>
      </c>
      <c r="D66" s="38" t="s">
        <v>16</v>
      </c>
      <c r="E66" s="37" t="s">
        <v>27</v>
      </c>
      <c r="F66" s="37" t="s">
        <v>31</v>
      </c>
      <c r="G66" s="37" t="s">
        <v>107</v>
      </c>
      <c r="H66" s="84">
        <v>50</v>
      </c>
      <c r="I66" s="85"/>
      <c r="J66" s="86"/>
      <c r="K66" s="47"/>
      <c r="L66" s="40" cm="1">
        <f t="array" ref="L66">SUMPRODUCT(Tracking[Amount $],--(Tracking[Date]&lt;=Tracking[[#This Row],[Date]]),(Tracking[Type]&lt;&gt;"Income") * (-1) + (Tracking[Type]="Income"), --(Tracking[Payment Type] = "Cash"))</f>
        <v>1457</v>
      </c>
      <c r="M66" s="40" cm="1">
        <f t="array" ref="M66">SUMPRODUCT(Tracking[Amount LBP],--(Tracking[Date]&lt;=Tracking[[#This Row],[Date]]),(Tracking[Type]&lt;&gt;"Income") * (-1) + (Tracking[Type]="Income"), --(Tracking[Payment Type] = "Cash"))</f>
        <v>580000</v>
      </c>
      <c r="N66" s="40" cm="1">
        <f t="array" ref="N66">SUMPRODUCT(Tracking[Amount €],--(Tracking[Date]&lt;=Tracking[[#This Row],[Date]]),(Tracking[Type]&lt;&gt;"Income") * (-1) + (Tracking[Type]="Income"), --(Tracking[Payment Type] = "Cash"))</f>
        <v>6204.07</v>
      </c>
      <c r="O66" s="43" cm="1">
        <f t="array" ref="O66">IF(AND(Tracking[[#This Row],[Type]]="Income", Shift_Late_Income_Status="Active", DAY(Tracking[[#This Row],[Date]])&gt;=Shift_Late_Income_Starting_Day),
DATE(YEAR(Tracking[[#This Row],[Date]]), MONTH(Tracking[[#This Row],[Date]])+1, 1),
Tracking[[#This Row],[Date]])</f>
        <v>46014</v>
      </c>
    </row>
    <row r="67" spans="3:15" hidden="1" x14ac:dyDescent="0.25">
      <c r="C67" s="38">
        <v>46014</v>
      </c>
      <c r="D67" s="38" t="s">
        <v>16</v>
      </c>
      <c r="E67" s="37" t="s">
        <v>27</v>
      </c>
      <c r="F67" s="37" t="s">
        <v>29</v>
      </c>
      <c r="G67" s="37" t="s">
        <v>108</v>
      </c>
      <c r="H67" s="84">
        <v>19</v>
      </c>
      <c r="I67" s="85">
        <v>-100000</v>
      </c>
      <c r="J67" s="86"/>
      <c r="K67" s="47"/>
      <c r="L67" s="40" cm="1">
        <f t="array" ref="L67">SUMPRODUCT(Tracking[Amount $],--(Tracking[Date]&lt;=Tracking[[#This Row],[Date]]),(Tracking[Type]&lt;&gt;"Income") * (-1) + (Tracking[Type]="Income"), --(Tracking[Payment Type] = "Cash"))</f>
        <v>1457</v>
      </c>
      <c r="M67" s="40" cm="1">
        <f t="array" ref="M67">SUMPRODUCT(Tracking[Amount LBP],--(Tracking[Date]&lt;=Tracking[[#This Row],[Date]]),(Tracking[Type]&lt;&gt;"Income") * (-1) + (Tracking[Type]="Income"), --(Tracking[Payment Type] = "Cash"))</f>
        <v>580000</v>
      </c>
      <c r="N67" s="40" cm="1">
        <f t="array" ref="N67">SUMPRODUCT(Tracking[Amount €],--(Tracking[Date]&lt;=Tracking[[#This Row],[Date]]),(Tracking[Type]&lt;&gt;"Income") * (-1) + (Tracking[Type]="Income"), --(Tracking[Payment Type] = "Cash"))</f>
        <v>6204.07</v>
      </c>
      <c r="O67" s="43" cm="1">
        <f t="array" ref="O67">IF(AND(Tracking[[#This Row],[Type]]="Income", Shift_Late_Income_Status="Active", DAY(Tracking[[#This Row],[Date]])&gt;=Shift_Late_Income_Starting_Day),
DATE(YEAR(Tracking[[#This Row],[Date]]), MONTH(Tracking[[#This Row],[Date]])+1, 1),
Tracking[[#This Row],[Date]])</f>
        <v>46014</v>
      </c>
    </row>
    <row r="68" spans="3:15" hidden="1" x14ac:dyDescent="0.25">
      <c r="C68" s="38">
        <v>46014</v>
      </c>
      <c r="D68" s="38" t="s">
        <v>16</v>
      </c>
      <c r="E68" s="37" t="s">
        <v>27</v>
      </c>
      <c r="F68" s="37" t="s">
        <v>42</v>
      </c>
      <c r="G68" s="37" t="s">
        <v>109</v>
      </c>
      <c r="H68" s="84">
        <v>10</v>
      </c>
      <c r="I68" s="85">
        <v>180000</v>
      </c>
      <c r="J68" s="86"/>
      <c r="K68" s="47"/>
      <c r="L68" s="40" cm="1">
        <f t="array" ref="L68">SUMPRODUCT(Tracking[Amount $],--(Tracking[Date]&lt;=Tracking[[#This Row],[Date]]),(Tracking[Type]&lt;&gt;"Income") * (-1) + (Tracking[Type]="Income"), --(Tracking[Payment Type] = "Cash"))</f>
        <v>1457</v>
      </c>
      <c r="M68" s="40" cm="1">
        <f t="array" ref="M68">SUMPRODUCT(Tracking[Amount LBP],--(Tracking[Date]&lt;=Tracking[[#This Row],[Date]]),(Tracking[Type]&lt;&gt;"Income") * (-1) + (Tracking[Type]="Income"), --(Tracking[Payment Type] = "Cash"))</f>
        <v>580000</v>
      </c>
      <c r="N68" s="40" cm="1">
        <f t="array" ref="N68">SUMPRODUCT(Tracking[Amount €],--(Tracking[Date]&lt;=Tracking[[#This Row],[Date]]),(Tracking[Type]&lt;&gt;"Income") * (-1) + (Tracking[Type]="Income"), --(Tracking[Payment Type] = "Cash"))</f>
        <v>6204.07</v>
      </c>
      <c r="O68" s="43" cm="1">
        <f t="array" ref="O68">IF(AND(Tracking[[#This Row],[Type]]="Income", Shift_Late_Income_Status="Active", DAY(Tracking[[#This Row],[Date]])&gt;=Shift_Late_Income_Starting_Day),
DATE(YEAR(Tracking[[#This Row],[Date]]), MONTH(Tracking[[#This Row],[Date]])+1, 1),
Tracking[[#This Row],[Date]])</f>
        <v>46014</v>
      </c>
    </row>
    <row r="69" spans="3:15" hidden="1" x14ac:dyDescent="0.25">
      <c r="C69" s="38">
        <v>46014</v>
      </c>
      <c r="D69" s="38" t="s">
        <v>16</v>
      </c>
      <c r="E69" s="37" t="s">
        <v>27</v>
      </c>
      <c r="F69" s="37" t="s">
        <v>47</v>
      </c>
      <c r="G69" s="37" t="s">
        <v>100</v>
      </c>
      <c r="H69" s="84">
        <v>100</v>
      </c>
      <c r="I69" s="85"/>
      <c r="J69" s="86"/>
      <c r="K69" s="47"/>
      <c r="L69" s="40" cm="1">
        <f t="array" ref="L69">SUMPRODUCT(Tracking[Amount $],--(Tracking[Date]&lt;=Tracking[[#This Row],[Date]]),(Tracking[Type]&lt;&gt;"Income") * (-1) + (Tracking[Type]="Income"), --(Tracking[Payment Type] = "Cash"))</f>
        <v>1457</v>
      </c>
      <c r="M69" s="40" cm="1">
        <f t="array" ref="M69">SUMPRODUCT(Tracking[Amount LBP],--(Tracking[Date]&lt;=Tracking[[#This Row],[Date]]),(Tracking[Type]&lt;&gt;"Income") * (-1) + (Tracking[Type]="Income"), --(Tracking[Payment Type] = "Cash"))</f>
        <v>580000</v>
      </c>
      <c r="N69" s="40" cm="1">
        <f t="array" ref="N69">SUMPRODUCT(Tracking[Amount €],--(Tracking[Date]&lt;=Tracking[[#This Row],[Date]]),(Tracking[Type]&lt;&gt;"Income") * (-1) + (Tracking[Type]="Income"), --(Tracking[Payment Type] = "Cash"))</f>
        <v>6204.07</v>
      </c>
      <c r="O69" s="43" cm="1">
        <f t="array" ref="O69">IF(AND(Tracking[[#This Row],[Type]]="Income", Shift_Late_Income_Status="Active", DAY(Tracking[[#This Row],[Date]])&gt;=Shift_Late_Income_Starting_Day),
DATE(YEAR(Tracking[[#This Row],[Date]]), MONTH(Tracking[[#This Row],[Date]])+1, 1),
Tracking[[#This Row],[Date]])</f>
        <v>46014</v>
      </c>
    </row>
    <row r="70" spans="3:15" hidden="1" x14ac:dyDescent="0.25">
      <c r="C70" s="38">
        <v>46014</v>
      </c>
      <c r="D70" s="38" t="s">
        <v>82</v>
      </c>
      <c r="E70" s="37" t="s">
        <v>27</v>
      </c>
      <c r="F70" s="37" t="s">
        <v>47</v>
      </c>
      <c r="G70" s="37" t="s">
        <v>100</v>
      </c>
      <c r="H70" s="84">
        <v>-100</v>
      </c>
      <c r="I70" s="85"/>
      <c r="J70" s="86"/>
      <c r="K70" s="47"/>
      <c r="L70" s="40" cm="1">
        <f t="array" ref="L70">SUMPRODUCT(Tracking[Amount $],--(Tracking[Date]&lt;=Tracking[[#This Row],[Date]]),(Tracking[Type]&lt;&gt;"Income") * (-1) + (Tracking[Type]="Income"), --(Tracking[Payment Type] = "Cash"))</f>
        <v>1457</v>
      </c>
      <c r="M70" s="40" cm="1">
        <f t="array" ref="M70">SUMPRODUCT(Tracking[Amount LBP],--(Tracking[Date]&lt;=Tracking[[#This Row],[Date]]),(Tracking[Type]&lt;&gt;"Income") * (-1) + (Tracking[Type]="Income"), --(Tracking[Payment Type] = "Cash"))</f>
        <v>580000</v>
      </c>
      <c r="N70" s="40" cm="1">
        <f t="array" ref="N70">SUMPRODUCT(Tracking[Amount €],--(Tracking[Date]&lt;=Tracking[[#This Row],[Date]]),(Tracking[Type]&lt;&gt;"Income") * (-1) + (Tracking[Type]="Income"), --(Tracking[Payment Type] = "Cash"))</f>
        <v>6204.07</v>
      </c>
      <c r="O70" s="43" cm="1">
        <f t="array" ref="O70">IF(AND(Tracking[[#This Row],[Type]]="Income", Shift_Late_Income_Status="Active", DAY(Tracking[[#This Row],[Date]])&gt;=Shift_Late_Income_Starting_Day),
DATE(YEAR(Tracking[[#This Row],[Date]]), MONTH(Tracking[[#This Row],[Date]])+1, 1),
Tracking[[#This Row],[Date]])</f>
        <v>46014</v>
      </c>
    </row>
    <row r="71" spans="3:15" hidden="1" x14ac:dyDescent="0.25">
      <c r="C71" s="38">
        <v>46014</v>
      </c>
      <c r="D71" s="38" t="s">
        <v>16</v>
      </c>
      <c r="E71" s="37" t="s">
        <v>27</v>
      </c>
      <c r="F71" s="37" t="s">
        <v>47</v>
      </c>
      <c r="G71" s="37" t="s">
        <v>100</v>
      </c>
      <c r="H71" s="84">
        <v>200</v>
      </c>
      <c r="I71" s="85"/>
      <c r="J71" s="86"/>
      <c r="K71" s="47"/>
      <c r="L71" s="40" cm="1">
        <f t="array" ref="L71">SUMPRODUCT(Tracking[Amount $],--(Tracking[Date]&lt;=Tracking[[#This Row],[Date]]),(Tracking[Type]&lt;&gt;"Income") * (-1) + (Tracking[Type]="Income"), --(Tracking[Payment Type] = "Cash"))</f>
        <v>1457</v>
      </c>
      <c r="M71" s="40" cm="1">
        <f t="array" ref="M71">SUMPRODUCT(Tracking[Amount LBP],--(Tracking[Date]&lt;=Tracking[[#This Row],[Date]]),(Tracking[Type]&lt;&gt;"Income") * (-1) + (Tracking[Type]="Income"), --(Tracking[Payment Type] = "Cash"))</f>
        <v>580000</v>
      </c>
      <c r="N71" s="40" cm="1">
        <f t="array" ref="N71">SUMPRODUCT(Tracking[Amount €],--(Tracking[Date]&lt;=Tracking[[#This Row],[Date]]),(Tracking[Type]&lt;&gt;"Income") * (-1) + (Tracking[Type]="Income"), --(Tracking[Payment Type] = "Cash"))</f>
        <v>6204.07</v>
      </c>
      <c r="O71" s="43" cm="1">
        <f t="array" ref="O71">IF(AND(Tracking[[#This Row],[Type]]="Income", Shift_Late_Income_Status="Active", DAY(Tracking[[#This Row],[Date]])&gt;=Shift_Late_Income_Starting_Day),
DATE(YEAR(Tracking[[#This Row],[Date]]), MONTH(Tracking[[#This Row],[Date]])+1, 1),
Tracking[[#This Row],[Date]])</f>
        <v>46014</v>
      </c>
    </row>
    <row r="72" spans="3:15" hidden="1" x14ac:dyDescent="0.25">
      <c r="C72" s="38">
        <v>46014</v>
      </c>
      <c r="D72" s="38" t="s">
        <v>82</v>
      </c>
      <c r="E72" s="37" t="s">
        <v>27</v>
      </c>
      <c r="F72" s="37" t="s">
        <v>47</v>
      </c>
      <c r="G72" s="37" t="s">
        <v>100</v>
      </c>
      <c r="H72" s="84">
        <v>-200</v>
      </c>
      <c r="I72" s="85"/>
      <c r="J72" s="86"/>
      <c r="K72" s="47"/>
      <c r="L72" s="40" cm="1">
        <f t="array" ref="L72">SUMPRODUCT(Tracking[Amount $],--(Tracking[Date]&lt;=Tracking[[#This Row],[Date]]),(Tracking[Type]&lt;&gt;"Income") * (-1) + (Tracking[Type]="Income"), --(Tracking[Payment Type] = "Cash"))</f>
        <v>1457</v>
      </c>
      <c r="M72" s="40" cm="1">
        <f t="array" ref="M72">SUMPRODUCT(Tracking[Amount LBP],--(Tracking[Date]&lt;=Tracking[[#This Row],[Date]]),(Tracking[Type]&lt;&gt;"Income") * (-1) + (Tracking[Type]="Income"), --(Tracking[Payment Type] = "Cash"))</f>
        <v>580000</v>
      </c>
      <c r="N72" s="40" cm="1">
        <f t="array" ref="N72">SUMPRODUCT(Tracking[Amount €],--(Tracking[Date]&lt;=Tracking[[#This Row],[Date]]),(Tracking[Type]&lt;&gt;"Income") * (-1) + (Tracking[Type]="Income"), --(Tracking[Payment Type] = "Cash"))</f>
        <v>6204.07</v>
      </c>
      <c r="O72" s="43" cm="1">
        <f t="array" ref="O72">IF(AND(Tracking[[#This Row],[Type]]="Income", Shift_Late_Income_Status="Active", DAY(Tracking[[#This Row],[Date]])&gt;=Shift_Late_Income_Starting_Day),
DATE(YEAR(Tracking[[#This Row],[Date]]), MONTH(Tracking[[#This Row],[Date]])+1, 1),
Tracking[[#This Row],[Date]])</f>
        <v>46014</v>
      </c>
    </row>
    <row r="73" spans="3:15" hidden="1" x14ac:dyDescent="0.25">
      <c r="C73" s="38">
        <v>46014</v>
      </c>
      <c r="D73" s="38" t="s">
        <v>82</v>
      </c>
      <c r="E73" s="37" t="s">
        <v>27</v>
      </c>
      <c r="F73" s="37" t="s">
        <v>28</v>
      </c>
      <c r="G73" s="37" t="s">
        <v>83</v>
      </c>
      <c r="H73" s="84">
        <v>15.62</v>
      </c>
      <c r="I73" s="85"/>
      <c r="J73" s="86"/>
      <c r="K73" s="47"/>
      <c r="L73" s="40" cm="1">
        <f t="array" ref="L73">SUMPRODUCT(Tracking[Amount $],--(Tracking[Date]&lt;=Tracking[[#This Row],[Date]]),(Tracking[Type]&lt;&gt;"Income") * (-1) + (Tracking[Type]="Income"), --(Tracking[Payment Type] = "Cash"))</f>
        <v>1457</v>
      </c>
      <c r="M73" s="40" cm="1">
        <f t="array" ref="M73">SUMPRODUCT(Tracking[Amount LBP],--(Tracking[Date]&lt;=Tracking[[#This Row],[Date]]),(Tracking[Type]&lt;&gt;"Income") * (-1) + (Tracking[Type]="Income"), --(Tracking[Payment Type] = "Cash"))</f>
        <v>580000</v>
      </c>
      <c r="N73" s="40" cm="1">
        <f t="array" ref="N73">SUMPRODUCT(Tracking[Amount €],--(Tracking[Date]&lt;=Tracking[[#This Row],[Date]]),(Tracking[Type]&lt;&gt;"Income") * (-1) + (Tracking[Type]="Income"), --(Tracking[Payment Type] = "Cash"))</f>
        <v>6204.07</v>
      </c>
      <c r="O73" s="43" cm="1">
        <f t="array" ref="O73">IF(AND(Tracking[[#This Row],[Type]]="Income", Shift_Late_Income_Status="Active", DAY(Tracking[[#This Row],[Date]])&gt;=Shift_Late_Income_Starting_Day),
DATE(YEAR(Tracking[[#This Row],[Date]]), MONTH(Tracking[[#This Row],[Date]])+1, 1),
Tracking[[#This Row],[Date]])</f>
        <v>46014</v>
      </c>
    </row>
    <row r="74" spans="3:15" hidden="1" x14ac:dyDescent="0.25">
      <c r="C74" s="38">
        <v>46014</v>
      </c>
      <c r="D74" s="38" t="s">
        <v>82</v>
      </c>
      <c r="E74" s="37" t="s">
        <v>27</v>
      </c>
      <c r="F74" s="37" t="s">
        <v>29</v>
      </c>
      <c r="G74" s="37" t="s">
        <v>95</v>
      </c>
      <c r="H74" s="84">
        <v>-10</v>
      </c>
      <c r="I74" s="85"/>
      <c r="J74" s="86"/>
      <c r="K74" s="47"/>
      <c r="L74" s="40" cm="1">
        <f t="array" ref="L74">SUMPRODUCT(Tracking[Amount $],--(Tracking[Date]&lt;=Tracking[[#This Row],[Date]]),(Tracking[Type]&lt;&gt;"Income") * (-1) + (Tracking[Type]="Income"), --(Tracking[Payment Type] = "Cash"))</f>
        <v>1457</v>
      </c>
      <c r="M74" s="40" cm="1">
        <f t="array" ref="M74">SUMPRODUCT(Tracking[Amount LBP],--(Tracking[Date]&lt;=Tracking[[#This Row],[Date]]),(Tracking[Type]&lt;&gt;"Income") * (-1) + (Tracking[Type]="Income"), --(Tracking[Payment Type] = "Cash"))</f>
        <v>580000</v>
      </c>
      <c r="N74" s="40" cm="1">
        <f t="array" ref="N74">SUMPRODUCT(Tracking[Amount €],--(Tracking[Date]&lt;=Tracking[[#This Row],[Date]]),(Tracking[Type]&lt;&gt;"Income") * (-1) + (Tracking[Type]="Income"), --(Tracking[Payment Type] = "Cash"))</f>
        <v>6204.07</v>
      </c>
      <c r="O74" s="43" cm="1">
        <f t="array" ref="O74">IF(AND(Tracking[[#This Row],[Type]]="Income", Shift_Late_Income_Status="Active", DAY(Tracking[[#This Row],[Date]])&gt;=Shift_Late_Income_Starting_Day),
DATE(YEAR(Tracking[[#This Row],[Date]]), MONTH(Tracking[[#This Row],[Date]])+1, 1),
Tracking[[#This Row],[Date]])</f>
        <v>46014</v>
      </c>
    </row>
    <row r="75" spans="3:15" hidden="1" x14ac:dyDescent="0.25">
      <c r="C75" s="38">
        <v>46014</v>
      </c>
      <c r="D75" s="38" t="s">
        <v>82</v>
      </c>
      <c r="E75" s="37" t="s">
        <v>27</v>
      </c>
      <c r="F75" s="37" t="s">
        <v>29</v>
      </c>
      <c r="G75" s="37" t="s">
        <v>96</v>
      </c>
      <c r="H75" s="84">
        <v>-10</v>
      </c>
      <c r="I75" s="85"/>
      <c r="J75" s="86"/>
      <c r="K75" s="47"/>
      <c r="L75" s="40" cm="1">
        <f t="array" ref="L75">SUMPRODUCT(Tracking[Amount $],--(Tracking[Date]&lt;=Tracking[[#This Row],[Date]]),(Tracking[Type]&lt;&gt;"Income") * (-1) + (Tracking[Type]="Income"), --(Tracking[Payment Type] = "Cash"))</f>
        <v>1457</v>
      </c>
      <c r="M75" s="40" cm="1">
        <f t="array" ref="M75">SUMPRODUCT(Tracking[Amount LBP],--(Tracking[Date]&lt;=Tracking[[#This Row],[Date]]),(Tracking[Type]&lt;&gt;"Income") * (-1) + (Tracking[Type]="Income"), --(Tracking[Payment Type] = "Cash"))</f>
        <v>580000</v>
      </c>
      <c r="N75" s="40" cm="1">
        <f t="array" ref="N75">SUMPRODUCT(Tracking[Amount €],--(Tracking[Date]&lt;=Tracking[[#This Row],[Date]]),(Tracking[Type]&lt;&gt;"Income") * (-1) + (Tracking[Type]="Income"), --(Tracking[Payment Type] = "Cash"))</f>
        <v>6204.07</v>
      </c>
      <c r="O75" s="43" cm="1">
        <f t="array" ref="O75">IF(AND(Tracking[[#This Row],[Type]]="Income", Shift_Late_Income_Status="Active", DAY(Tracking[[#This Row],[Date]])&gt;=Shift_Late_Income_Starting_Day),
DATE(YEAR(Tracking[[#This Row],[Date]]), MONTH(Tracking[[#This Row],[Date]])+1, 1),
Tracking[[#This Row],[Date]])</f>
        <v>46014</v>
      </c>
    </row>
    <row r="76" spans="3:15" hidden="1" x14ac:dyDescent="0.25">
      <c r="C76" s="38">
        <v>46014</v>
      </c>
      <c r="D76" s="38" t="s">
        <v>82</v>
      </c>
      <c r="E76" s="37" t="s">
        <v>27</v>
      </c>
      <c r="F76" s="37" t="s">
        <v>29</v>
      </c>
      <c r="G76" s="37" t="s">
        <v>110</v>
      </c>
      <c r="H76" s="84">
        <f>11.11-5</f>
        <v>6.1099999999999994</v>
      </c>
      <c r="I76" s="85"/>
      <c r="J76" s="86"/>
      <c r="K76" s="47"/>
      <c r="L76" s="40" cm="1">
        <f t="array" ref="L76">SUMPRODUCT(Tracking[Amount $],--(Tracking[Date]&lt;=Tracking[[#This Row],[Date]]),(Tracking[Type]&lt;&gt;"Income") * (-1) + (Tracking[Type]="Income"), --(Tracking[Payment Type] = "Cash"))</f>
        <v>1457</v>
      </c>
      <c r="M76" s="40" cm="1">
        <f t="array" ref="M76">SUMPRODUCT(Tracking[Amount LBP],--(Tracking[Date]&lt;=Tracking[[#This Row],[Date]]),(Tracking[Type]&lt;&gt;"Income") * (-1) + (Tracking[Type]="Income"), --(Tracking[Payment Type] = "Cash"))</f>
        <v>580000</v>
      </c>
      <c r="N76" s="40" cm="1">
        <f t="array" ref="N76">SUMPRODUCT(Tracking[Amount €],--(Tracking[Date]&lt;=Tracking[[#This Row],[Date]]),(Tracking[Type]&lt;&gt;"Income") * (-1) + (Tracking[Type]="Income"), --(Tracking[Payment Type] = "Cash"))</f>
        <v>6204.07</v>
      </c>
      <c r="O76" s="43" cm="1">
        <f t="array" ref="O76">IF(AND(Tracking[[#This Row],[Type]]="Income", Shift_Late_Income_Status="Active", DAY(Tracking[[#This Row],[Date]])&gt;=Shift_Late_Income_Starting_Day),
DATE(YEAR(Tracking[[#This Row],[Date]]), MONTH(Tracking[[#This Row],[Date]])+1, 1),
Tracking[[#This Row],[Date]])</f>
        <v>46014</v>
      </c>
    </row>
    <row r="77" spans="3:15" hidden="1" x14ac:dyDescent="0.25">
      <c r="C77" s="38">
        <v>46014</v>
      </c>
      <c r="D77" s="38" t="s">
        <v>82</v>
      </c>
      <c r="E77" s="37" t="s">
        <v>27</v>
      </c>
      <c r="F77" s="37" t="s">
        <v>28</v>
      </c>
      <c r="G77" s="37" t="s">
        <v>68</v>
      </c>
      <c r="H77" s="84">
        <v>20.350000000000001</v>
      </c>
      <c r="I77" s="85"/>
      <c r="J77" s="86"/>
      <c r="K77" s="47"/>
      <c r="L77" s="40" cm="1">
        <f t="array" ref="L77">SUMPRODUCT(Tracking[Amount $],--(Tracking[Date]&lt;=Tracking[[#This Row],[Date]]),(Tracking[Type]&lt;&gt;"Income") * (-1) + (Tracking[Type]="Income"), --(Tracking[Payment Type] = "Cash"))</f>
        <v>1457</v>
      </c>
      <c r="M77" s="40" cm="1">
        <f t="array" ref="M77">SUMPRODUCT(Tracking[Amount LBP],--(Tracking[Date]&lt;=Tracking[[#This Row],[Date]]),(Tracking[Type]&lt;&gt;"Income") * (-1) + (Tracking[Type]="Income"), --(Tracking[Payment Type] = "Cash"))</f>
        <v>580000</v>
      </c>
      <c r="N77" s="40" cm="1">
        <f t="array" ref="N77">SUMPRODUCT(Tracking[Amount €],--(Tracking[Date]&lt;=Tracking[[#This Row],[Date]]),(Tracking[Type]&lt;&gt;"Income") * (-1) + (Tracking[Type]="Income"), --(Tracking[Payment Type] = "Cash"))</f>
        <v>6204.07</v>
      </c>
      <c r="O77" s="43" cm="1">
        <f t="array" ref="O77">IF(AND(Tracking[[#This Row],[Type]]="Income", Shift_Late_Income_Status="Active", DAY(Tracking[[#This Row],[Date]])&gt;=Shift_Late_Income_Starting_Day),
DATE(YEAR(Tracking[[#This Row],[Date]]), MONTH(Tracking[[#This Row],[Date]])+1, 1),
Tracking[[#This Row],[Date]])</f>
        <v>46014</v>
      </c>
    </row>
    <row r="78" spans="3:15" hidden="1" x14ac:dyDescent="0.25">
      <c r="C78" s="38">
        <v>46014</v>
      </c>
      <c r="D78" s="38" t="s">
        <v>82</v>
      </c>
      <c r="E78" s="37" t="s">
        <v>27</v>
      </c>
      <c r="F78" s="37" t="s">
        <v>29</v>
      </c>
      <c r="G78" s="37" t="s">
        <v>111</v>
      </c>
      <c r="H78" s="84">
        <f>-15+29.8</f>
        <v>14.8</v>
      </c>
      <c r="I78" s="85"/>
      <c r="J78" s="86"/>
      <c r="K78" s="47"/>
      <c r="L78" s="40" cm="1">
        <f t="array" ref="L78">SUMPRODUCT(Tracking[Amount $],--(Tracking[Date]&lt;=Tracking[[#This Row],[Date]]),(Tracking[Type]&lt;&gt;"Income") * (-1) + (Tracking[Type]="Income"), --(Tracking[Payment Type] = "Cash"))</f>
        <v>1457</v>
      </c>
      <c r="M78" s="40" cm="1">
        <f t="array" ref="M78">SUMPRODUCT(Tracking[Amount LBP],--(Tracking[Date]&lt;=Tracking[[#This Row],[Date]]),(Tracking[Type]&lt;&gt;"Income") * (-1) + (Tracking[Type]="Income"), --(Tracking[Payment Type] = "Cash"))</f>
        <v>580000</v>
      </c>
      <c r="N78" s="40" cm="1">
        <f t="array" ref="N78">SUMPRODUCT(Tracking[Amount €],--(Tracking[Date]&lt;=Tracking[[#This Row],[Date]]),(Tracking[Type]&lt;&gt;"Income") * (-1) + (Tracking[Type]="Income"), --(Tracking[Payment Type] = "Cash"))</f>
        <v>6204.07</v>
      </c>
      <c r="O78" s="43" cm="1">
        <f t="array" ref="O78">IF(AND(Tracking[[#This Row],[Type]]="Income", Shift_Late_Income_Status="Active", DAY(Tracking[[#This Row],[Date]])&gt;=Shift_Late_Income_Starting_Day),
DATE(YEAR(Tracking[[#This Row],[Date]]), MONTH(Tracking[[#This Row],[Date]])+1, 1),
Tracking[[#This Row],[Date]])</f>
        <v>46014</v>
      </c>
    </row>
    <row r="79" spans="3:15" hidden="1" x14ac:dyDescent="0.25">
      <c r="C79" s="38">
        <v>46014</v>
      </c>
      <c r="D79" s="38" t="s">
        <v>82</v>
      </c>
      <c r="E79" s="37" t="s">
        <v>27</v>
      </c>
      <c r="F79" s="37" t="s">
        <v>30</v>
      </c>
      <c r="G79" s="37" t="s">
        <v>112</v>
      </c>
      <c r="H79" s="84">
        <v>58.66</v>
      </c>
      <c r="I79" s="85"/>
      <c r="J79" s="86"/>
      <c r="K79" s="47"/>
      <c r="L79" s="40" cm="1">
        <f t="array" ref="L79">SUMPRODUCT(Tracking[Amount $],--(Tracking[Date]&lt;=Tracking[[#This Row],[Date]]),(Tracking[Type]&lt;&gt;"Income") * (-1) + (Tracking[Type]="Income"), --(Tracking[Payment Type] = "Cash"))</f>
        <v>1457</v>
      </c>
      <c r="M79" s="40" cm="1">
        <f t="array" ref="M79">SUMPRODUCT(Tracking[Amount LBP],--(Tracking[Date]&lt;=Tracking[[#This Row],[Date]]),(Tracking[Type]&lt;&gt;"Income") * (-1) + (Tracking[Type]="Income"), --(Tracking[Payment Type] = "Cash"))</f>
        <v>580000</v>
      </c>
      <c r="N79" s="40" cm="1">
        <f t="array" ref="N79">SUMPRODUCT(Tracking[Amount €],--(Tracking[Date]&lt;=Tracking[[#This Row],[Date]]),(Tracking[Type]&lt;&gt;"Income") * (-1) + (Tracking[Type]="Income"), --(Tracking[Payment Type] = "Cash"))</f>
        <v>6204.07</v>
      </c>
      <c r="O79" s="43" cm="1">
        <f t="array" ref="O79">IF(AND(Tracking[[#This Row],[Type]]="Income", Shift_Late_Income_Status="Active", DAY(Tracking[[#This Row],[Date]])&gt;=Shift_Late_Income_Starting_Day),
DATE(YEAR(Tracking[[#This Row],[Date]]), MONTH(Tracking[[#This Row],[Date]])+1, 1),
Tracking[[#This Row],[Date]])</f>
        <v>46014</v>
      </c>
    </row>
    <row r="80" spans="3:15" hidden="1" x14ac:dyDescent="0.25">
      <c r="C80" s="38">
        <v>46014</v>
      </c>
      <c r="D80" s="38" t="s">
        <v>82</v>
      </c>
      <c r="E80" s="37" t="s">
        <v>27</v>
      </c>
      <c r="F80" s="37" t="s">
        <v>29</v>
      </c>
      <c r="G80" s="37" t="s">
        <v>108</v>
      </c>
      <c r="H80" s="84">
        <v>8</v>
      </c>
      <c r="I80" s="85"/>
      <c r="J80" s="86"/>
      <c r="K80" s="47"/>
      <c r="L80" s="40" cm="1">
        <f t="array" ref="L80">SUMPRODUCT(Tracking[Amount $],--(Tracking[Date]&lt;=Tracking[[#This Row],[Date]]),(Tracking[Type]&lt;&gt;"Income") * (-1) + (Tracking[Type]="Income"), --(Tracking[Payment Type] = "Cash"))</f>
        <v>1457</v>
      </c>
      <c r="M80" s="40" cm="1">
        <f t="array" ref="M80">SUMPRODUCT(Tracking[Amount LBP],--(Tracking[Date]&lt;=Tracking[[#This Row],[Date]]),(Tracking[Type]&lt;&gt;"Income") * (-1) + (Tracking[Type]="Income"), --(Tracking[Payment Type] = "Cash"))</f>
        <v>580000</v>
      </c>
      <c r="N80" s="40" cm="1">
        <f t="array" ref="N80">SUMPRODUCT(Tracking[Amount €],--(Tracking[Date]&lt;=Tracking[[#This Row],[Date]]),(Tracking[Type]&lt;&gt;"Income") * (-1) + (Tracking[Type]="Income"), --(Tracking[Payment Type] = "Cash"))</f>
        <v>6204.07</v>
      </c>
      <c r="O80" s="43" cm="1">
        <f t="array" ref="O80">IF(AND(Tracking[[#This Row],[Type]]="Income", Shift_Late_Income_Status="Active", DAY(Tracking[[#This Row],[Date]])&gt;=Shift_Late_Income_Starting_Day),
DATE(YEAR(Tracking[[#This Row],[Date]]), MONTH(Tracking[[#This Row],[Date]])+1, 1),
Tracking[[#This Row],[Date]])</f>
        <v>46014</v>
      </c>
    </row>
    <row r="81" spans="3:15" hidden="1" x14ac:dyDescent="0.25">
      <c r="C81" s="38">
        <v>46014</v>
      </c>
      <c r="D81" s="38" t="s">
        <v>82</v>
      </c>
      <c r="E81" s="37" t="s">
        <v>27</v>
      </c>
      <c r="F81" s="37" t="s">
        <v>30</v>
      </c>
      <c r="G81" s="37" t="s">
        <v>113</v>
      </c>
      <c r="H81" s="84">
        <v>39.99</v>
      </c>
      <c r="I81" s="85"/>
      <c r="J81" s="86"/>
      <c r="K81" s="47"/>
      <c r="L81" s="40" cm="1">
        <f t="array" ref="L81">SUMPRODUCT(Tracking[Amount $],--(Tracking[Date]&lt;=Tracking[[#This Row],[Date]]),(Tracking[Type]&lt;&gt;"Income") * (-1) + (Tracking[Type]="Income"), --(Tracking[Payment Type] = "Cash"))</f>
        <v>1457</v>
      </c>
      <c r="M81" s="40" cm="1">
        <f t="array" ref="M81">SUMPRODUCT(Tracking[Amount LBP],--(Tracking[Date]&lt;=Tracking[[#This Row],[Date]]),(Tracking[Type]&lt;&gt;"Income") * (-1) + (Tracking[Type]="Income"), --(Tracking[Payment Type] = "Cash"))</f>
        <v>580000</v>
      </c>
      <c r="N81" s="40" cm="1">
        <f t="array" ref="N81">SUMPRODUCT(Tracking[Amount €],--(Tracking[Date]&lt;=Tracking[[#This Row],[Date]]),(Tracking[Type]&lt;&gt;"Income") * (-1) + (Tracking[Type]="Income"), --(Tracking[Payment Type] = "Cash"))</f>
        <v>6204.07</v>
      </c>
      <c r="O81" s="43" cm="1">
        <f t="array" ref="O81">IF(AND(Tracking[[#This Row],[Type]]="Income", Shift_Late_Income_Status="Active", DAY(Tracking[[#This Row],[Date]])&gt;=Shift_Late_Income_Starting_Day),
DATE(YEAR(Tracking[[#This Row],[Date]]), MONTH(Tracking[[#This Row],[Date]])+1, 1),
Tracking[[#This Row],[Date]])</f>
        <v>46014</v>
      </c>
    </row>
    <row r="82" spans="3:15" hidden="1" x14ac:dyDescent="0.25">
      <c r="C82" s="38">
        <v>46014</v>
      </c>
      <c r="D82" s="38" t="s">
        <v>82</v>
      </c>
      <c r="E82" s="37" t="s">
        <v>27</v>
      </c>
      <c r="F82" s="37" t="s">
        <v>33</v>
      </c>
      <c r="G82" s="37" t="s">
        <v>71</v>
      </c>
      <c r="H82" s="84">
        <v>10</v>
      </c>
      <c r="I82" s="85"/>
      <c r="J82" s="86"/>
      <c r="K82" s="47"/>
      <c r="L82" s="40" cm="1">
        <f t="array" ref="L82">SUMPRODUCT(Tracking[Amount $],--(Tracking[Date]&lt;=Tracking[[#This Row],[Date]]),(Tracking[Type]&lt;&gt;"Income") * (-1) + (Tracking[Type]="Income"), --(Tracking[Payment Type] = "Cash"))</f>
        <v>1457</v>
      </c>
      <c r="M82" s="40" cm="1">
        <f t="array" ref="M82">SUMPRODUCT(Tracking[Amount LBP],--(Tracking[Date]&lt;=Tracking[[#This Row],[Date]]),(Tracking[Type]&lt;&gt;"Income") * (-1) + (Tracking[Type]="Income"), --(Tracking[Payment Type] = "Cash"))</f>
        <v>580000</v>
      </c>
      <c r="N82" s="40" cm="1">
        <f t="array" ref="N82">SUMPRODUCT(Tracking[Amount €],--(Tracking[Date]&lt;=Tracking[[#This Row],[Date]]),(Tracking[Type]&lt;&gt;"Income") * (-1) + (Tracking[Type]="Income"), --(Tracking[Payment Type] = "Cash"))</f>
        <v>6204.07</v>
      </c>
      <c r="O82" s="43" cm="1">
        <f t="array" ref="O82">IF(AND(Tracking[[#This Row],[Type]]="Income", Shift_Late_Income_Status="Active", DAY(Tracking[[#This Row],[Date]])&gt;=Shift_Late_Income_Starting_Day),
DATE(YEAR(Tracking[[#This Row],[Date]]), MONTH(Tracking[[#This Row],[Date]])+1, 1),
Tracking[[#This Row],[Date]])</f>
        <v>46014</v>
      </c>
    </row>
    <row r="83" spans="3:15" hidden="1" x14ac:dyDescent="0.25">
      <c r="C83" s="38">
        <v>46015</v>
      </c>
      <c r="D83" s="38" t="s">
        <v>16</v>
      </c>
      <c r="E83" s="37" t="s">
        <v>27</v>
      </c>
      <c r="F83" s="37" t="s">
        <v>43</v>
      </c>
      <c r="G83" s="37" t="s">
        <v>339</v>
      </c>
      <c r="H83" s="84"/>
      <c r="I83" s="85">
        <v>250000</v>
      </c>
      <c r="J83" s="86"/>
      <c r="K83" s="47"/>
      <c r="L83" s="40" cm="1">
        <f t="array" ref="L83">SUMPRODUCT(Tracking[Amount $],--(Tracking[Date]&lt;=Tracking[[#This Row],[Date]]),(Tracking[Type]&lt;&gt;"Income") * (-1) + (Tracking[Type]="Income"), --(Tracking[Payment Type] = "Cash"))</f>
        <v>1457</v>
      </c>
      <c r="M83" s="40" cm="1">
        <f t="array" ref="M83">SUMPRODUCT(Tracking[Amount LBP],--(Tracking[Date]&lt;=Tracking[[#This Row],[Date]]),(Tracking[Type]&lt;&gt;"Income") * (-1) + (Tracking[Type]="Income"), --(Tracking[Payment Type] = "Cash"))</f>
        <v>330000</v>
      </c>
      <c r="N83" s="40" cm="1">
        <f t="array" ref="N83">SUMPRODUCT(Tracking[Amount €],--(Tracking[Date]&lt;=Tracking[[#This Row],[Date]]),(Tracking[Type]&lt;&gt;"Income") * (-1) + (Tracking[Type]="Income"), --(Tracking[Payment Type] = "Cash"))</f>
        <v>6204.07</v>
      </c>
      <c r="O83" s="43" cm="1">
        <f t="array" ref="O83">IF(AND(Tracking[[#This Row],[Type]]="Income", Shift_Late_Income_Status="Active", DAY(Tracking[[#This Row],[Date]])&gt;=Shift_Late_Income_Starting_Day),
DATE(YEAR(Tracking[[#This Row],[Date]]), MONTH(Tracking[[#This Row],[Date]])+1, 1),
Tracking[[#This Row],[Date]])</f>
        <v>46015</v>
      </c>
    </row>
    <row r="84" spans="3:15" hidden="1" x14ac:dyDescent="0.25">
      <c r="C84" s="38">
        <v>46016</v>
      </c>
      <c r="D84" s="38" t="s">
        <v>16</v>
      </c>
      <c r="E84" s="37" t="s">
        <v>27</v>
      </c>
      <c r="F84" s="37" t="s">
        <v>47</v>
      </c>
      <c r="G84" s="37" t="s">
        <v>100</v>
      </c>
      <c r="H84" s="84">
        <v>107</v>
      </c>
      <c r="I84" s="85"/>
      <c r="J84" s="86"/>
      <c r="K84" s="47"/>
      <c r="L84" s="40" cm="1">
        <f t="array" ref="L84">SUMPRODUCT(Tracking[Amount $],--(Tracking[Date]&lt;=Tracking[[#This Row],[Date]]),(Tracking[Type]&lt;&gt;"Income") * (-1) + (Tracking[Type]="Income"), --(Tracking[Payment Type] = "Cash"))</f>
        <v>1350</v>
      </c>
      <c r="M84" s="40" cm="1">
        <f t="array" ref="M84">SUMPRODUCT(Tracking[Amount LBP],--(Tracking[Date]&lt;=Tracking[[#This Row],[Date]]),(Tracking[Type]&lt;&gt;"Income") * (-1) + (Tracking[Type]="Income"), --(Tracking[Payment Type] = "Cash"))</f>
        <v>330000</v>
      </c>
      <c r="N84" s="40" cm="1">
        <f t="array" ref="N84">SUMPRODUCT(Tracking[Amount €],--(Tracking[Date]&lt;=Tracking[[#This Row],[Date]]),(Tracking[Type]&lt;&gt;"Income") * (-1) + (Tracking[Type]="Income"), --(Tracking[Payment Type] = "Cash"))</f>
        <v>6204.07</v>
      </c>
      <c r="O84" s="43" cm="1">
        <f t="array" ref="O84">IF(AND(Tracking[[#This Row],[Type]]="Income", Shift_Late_Income_Status="Active", DAY(Tracking[[#This Row],[Date]])&gt;=Shift_Late_Income_Starting_Day),
DATE(YEAR(Tracking[[#This Row],[Date]]), MONTH(Tracking[[#This Row],[Date]])+1, 1),
Tracking[[#This Row],[Date]])</f>
        <v>46016</v>
      </c>
    </row>
    <row r="85" spans="3:15" hidden="1" x14ac:dyDescent="0.25">
      <c r="C85" s="38">
        <v>46017</v>
      </c>
      <c r="D85" s="38" t="s">
        <v>16</v>
      </c>
      <c r="E85" s="37" t="s">
        <v>27</v>
      </c>
      <c r="F85" s="37" t="s">
        <v>38</v>
      </c>
      <c r="G85" s="37" t="s">
        <v>247</v>
      </c>
      <c r="H85" s="84"/>
      <c r="I85" s="85">
        <v>200000</v>
      </c>
      <c r="J85" s="86"/>
      <c r="K85" s="47"/>
      <c r="L85" s="40" cm="1">
        <f t="array" ref="L85">SUMPRODUCT(Tracking[Amount $],--(Tracking[Date]&lt;=Tracking[[#This Row],[Date]]),(Tracking[Type]&lt;&gt;"Income") * (-1) + (Tracking[Type]="Income"), --(Tracking[Payment Type] = "Cash"))</f>
        <v>1350</v>
      </c>
      <c r="M85" s="40" cm="1">
        <f t="array" ref="M85">SUMPRODUCT(Tracking[Amount LBP],--(Tracking[Date]&lt;=Tracking[[#This Row],[Date]]),(Tracking[Type]&lt;&gt;"Income") * (-1) + (Tracking[Type]="Income"), --(Tracking[Payment Type] = "Cash"))</f>
        <v>130000</v>
      </c>
      <c r="N85" s="40" cm="1">
        <f t="array" ref="N85">SUMPRODUCT(Tracking[Amount €],--(Tracking[Date]&lt;=Tracking[[#This Row],[Date]]),(Tracking[Type]&lt;&gt;"Income") * (-1) + (Tracking[Type]="Income"), --(Tracking[Payment Type] = "Cash"))</f>
        <v>6204.07</v>
      </c>
      <c r="O85" s="43" cm="1">
        <f t="array" ref="O85">IF(AND(Tracking[[#This Row],[Type]]="Income", Shift_Late_Income_Status="Active", DAY(Tracking[[#This Row],[Date]])&gt;=Shift_Late_Income_Starting_Day),
DATE(YEAR(Tracking[[#This Row],[Date]]), MONTH(Tracking[[#This Row],[Date]])+1, 1),
Tracking[[#This Row],[Date]])</f>
        <v>46017</v>
      </c>
    </row>
    <row r="86" spans="3:15" hidden="1" x14ac:dyDescent="0.25">
      <c r="C86" s="38">
        <v>46018</v>
      </c>
      <c r="D86" s="38" t="s">
        <v>82</v>
      </c>
      <c r="E86" s="37" t="s">
        <v>27</v>
      </c>
      <c r="F86" s="37" t="s">
        <v>38</v>
      </c>
      <c r="G86" s="37" t="s">
        <v>340</v>
      </c>
      <c r="H86" s="84">
        <v>20</v>
      </c>
      <c r="I86" s="85"/>
      <c r="J86" s="86"/>
      <c r="K86" s="47"/>
      <c r="L86" s="40" cm="1">
        <f t="array" ref="L86">SUMPRODUCT(Tracking[Amount $],--(Tracking[Date]&lt;=Tracking[[#This Row],[Date]]),(Tracking[Type]&lt;&gt;"Income") * (-1) + (Tracking[Type]="Income"), --(Tracking[Payment Type] = "Cash"))</f>
        <v>1350</v>
      </c>
      <c r="M86" s="40" cm="1">
        <f t="array" ref="M86">SUMPRODUCT(Tracking[Amount LBP],--(Tracking[Date]&lt;=Tracking[[#This Row],[Date]]),(Tracking[Type]&lt;&gt;"Income") * (-1) + (Tracking[Type]="Income"), --(Tracking[Payment Type] = "Cash"))</f>
        <v>130000</v>
      </c>
      <c r="N86" s="40" cm="1">
        <f t="array" ref="N86">SUMPRODUCT(Tracking[Amount €],--(Tracking[Date]&lt;=Tracking[[#This Row],[Date]]),(Tracking[Type]&lt;&gt;"Income") * (-1) + (Tracking[Type]="Income"), --(Tracking[Payment Type] = "Cash"))</f>
        <v>6204.07</v>
      </c>
      <c r="O86" s="43" cm="1">
        <f t="array" ref="O86">IF(AND(Tracking[[#This Row],[Type]]="Income", Shift_Late_Income_Status="Active", DAY(Tracking[[#This Row],[Date]])&gt;=Shift_Late_Income_Starting_Day),
DATE(YEAR(Tracking[[#This Row],[Date]]), MONTH(Tracking[[#This Row],[Date]])+1, 1),
Tracking[[#This Row],[Date]])</f>
        <v>46018</v>
      </c>
    </row>
    <row r="87" spans="3:15" hidden="1" x14ac:dyDescent="0.25">
      <c r="C87" s="38">
        <v>46019</v>
      </c>
      <c r="D87" s="38" t="s">
        <v>16</v>
      </c>
      <c r="E87" s="37" t="s">
        <v>27</v>
      </c>
      <c r="F87" s="37" t="s">
        <v>29</v>
      </c>
      <c r="G87" s="37" t="s">
        <v>199</v>
      </c>
      <c r="H87" s="84">
        <v>20</v>
      </c>
      <c r="I87" s="85">
        <v>-405000</v>
      </c>
      <c r="J87" s="86"/>
      <c r="K87" s="47"/>
      <c r="L87" s="40" cm="1">
        <f t="array" ref="L87">SUMPRODUCT(Tracking[Amount $],--(Tracking[Date]&lt;=Tracking[[#This Row],[Date]]),(Tracking[Type]&lt;&gt;"Income") * (-1) + (Tracking[Type]="Income"), --(Tracking[Payment Type] = "Cash"))</f>
        <v>1330</v>
      </c>
      <c r="M87" s="40" cm="1">
        <f t="array" ref="M87">SUMPRODUCT(Tracking[Amount LBP],--(Tracking[Date]&lt;=Tracking[[#This Row],[Date]]),(Tracking[Type]&lt;&gt;"Income") * (-1) + (Tracking[Type]="Income"), --(Tracking[Payment Type] = "Cash"))</f>
        <v>535000</v>
      </c>
      <c r="N87" s="40" cm="1">
        <f t="array" ref="N87">SUMPRODUCT(Tracking[Amount €],--(Tracking[Date]&lt;=Tracking[[#This Row],[Date]]),(Tracking[Type]&lt;&gt;"Income") * (-1) + (Tracking[Type]="Income"), --(Tracking[Payment Type] = "Cash"))</f>
        <v>6204.07</v>
      </c>
      <c r="O87" s="43" cm="1">
        <f t="array" ref="O87">IF(AND(Tracking[[#This Row],[Type]]="Income", Shift_Late_Income_Status="Active", DAY(Tracking[[#This Row],[Date]])&gt;=Shift_Late_Income_Starting_Day),
DATE(YEAR(Tracking[[#This Row],[Date]]), MONTH(Tracking[[#This Row],[Date]])+1, 1),
Tracking[[#This Row],[Date]])</f>
        <v>46019</v>
      </c>
    </row>
    <row r="88" spans="3:15" hidden="1" x14ac:dyDescent="0.25">
      <c r="C88" s="38">
        <v>46020</v>
      </c>
      <c r="D88" s="38" t="s">
        <v>16</v>
      </c>
      <c r="E88" s="37" t="s">
        <v>27</v>
      </c>
      <c r="F88" s="37" t="s">
        <v>33</v>
      </c>
      <c r="G88" s="37" t="s">
        <v>71</v>
      </c>
      <c r="H88" s="84">
        <v>20</v>
      </c>
      <c r="I88" s="85"/>
      <c r="J88" s="86"/>
      <c r="K88" s="47"/>
      <c r="L88" s="40" cm="1">
        <f t="array" ref="L88">SUMPRODUCT(Tracking[Amount $],--(Tracking[Date]&lt;=Tracking[[#This Row],[Date]]),(Tracking[Type]&lt;&gt;"Income") * (-1) + (Tracking[Type]="Income"), --(Tracking[Payment Type] = "Cash"))</f>
        <v>1310</v>
      </c>
      <c r="M88" s="40" cm="1">
        <f t="array" ref="M88">SUMPRODUCT(Tracking[Amount LBP],--(Tracking[Date]&lt;=Tracking[[#This Row],[Date]]),(Tracking[Type]&lt;&gt;"Income") * (-1) + (Tracking[Type]="Income"), --(Tracking[Payment Type] = "Cash"))</f>
        <v>535000</v>
      </c>
      <c r="N88" s="40" cm="1">
        <f t="array" ref="N88">SUMPRODUCT(Tracking[Amount €],--(Tracking[Date]&lt;=Tracking[[#This Row],[Date]]),(Tracking[Type]&lt;&gt;"Income") * (-1) + (Tracking[Type]="Income"), --(Tracking[Payment Type] = "Cash"))</f>
        <v>6204.07</v>
      </c>
      <c r="O88" s="43" cm="1">
        <f t="array" ref="O88">IF(AND(Tracking[[#This Row],[Type]]="Income", Shift_Late_Income_Status="Active", DAY(Tracking[[#This Row],[Date]])&gt;=Shift_Late_Income_Starting_Day),
DATE(YEAR(Tracking[[#This Row],[Date]]), MONTH(Tracking[[#This Row],[Date]])+1, 1),
Tracking[[#This Row],[Date]])</f>
        <v>46020</v>
      </c>
    </row>
    <row r="89" spans="3:15" hidden="1" x14ac:dyDescent="0.25">
      <c r="C89" s="38">
        <v>46021</v>
      </c>
      <c r="D89" s="38" t="s">
        <v>16</v>
      </c>
      <c r="E89" s="37" t="s">
        <v>27</v>
      </c>
      <c r="F89" s="37" t="s">
        <v>29</v>
      </c>
      <c r="G89" s="37" t="s">
        <v>199</v>
      </c>
      <c r="H89" s="84">
        <v>10</v>
      </c>
      <c r="I89" s="85">
        <v>200000</v>
      </c>
      <c r="J89" s="86"/>
      <c r="K89" s="47"/>
      <c r="L89" s="40" cm="1">
        <f t="array" ref="L89">SUMPRODUCT(Tracking[Amount $],--(Tracking[Date]&lt;=Tracking[[#This Row],[Date]]),(Tracking[Type]&lt;&gt;"Income") * (-1) + (Tracking[Type]="Income"), --(Tracking[Payment Type] = "Cash"))</f>
        <v>1300</v>
      </c>
      <c r="M89" s="40" cm="1">
        <f t="array" ref="M89">SUMPRODUCT(Tracking[Amount LBP],--(Tracking[Date]&lt;=Tracking[[#This Row],[Date]]),(Tracking[Type]&lt;&gt;"Income") * (-1) + (Tracking[Type]="Income"), --(Tracking[Payment Type] = "Cash"))</f>
        <v>335000</v>
      </c>
      <c r="N89" s="40" cm="1">
        <f t="array" ref="N89">SUMPRODUCT(Tracking[Amount €],--(Tracking[Date]&lt;=Tracking[[#This Row],[Date]]),(Tracking[Type]&lt;&gt;"Income") * (-1) + (Tracking[Type]="Income"), --(Tracking[Payment Type] = "Cash"))</f>
        <v>6204.07</v>
      </c>
      <c r="O89" s="43" cm="1">
        <f t="array" ref="O89">IF(AND(Tracking[[#This Row],[Type]]="Income", Shift_Late_Income_Status="Active", DAY(Tracking[[#This Row],[Date]])&gt;=Shift_Late_Income_Starting_Day),
DATE(YEAR(Tracking[[#This Row],[Date]]), MONTH(Tracking[[#This Row],[Date]])+1, 1),
Tracking[[#This Row],[Date]])</f>
        <v>46021</v>
      </c>
    </row>
    <row r="90" spans="3:15" hidden="1" x14ac:dyDescent="0.25">
      <c r="C90" s="38">
        <v>46022</v>
      </c>
      <c r="D90" s="38" t="s">
        <v>82</v>
      </c>
      <c r="E90" s="37" t="s">
        <v>27</v>
      </c>
      <c r="F90" s="37" t="s">
        <v>47</v>
      </c>
      <c r="G90" s="37" t="s">
        <v>100</v>
      </c>
      <c r="H90" s="84">
        <v>-110</v>
      </c>
      <c r="I90" s="85"/>
      <c r="J90" s="86"/>
      <c r="K90" s="47"/>
      <c r="L90" s="40" cm="1">
        <f t="array" ref="L90">SUMPRODUCT(Tracking[Amount $],--(Tracking[Date]&lt;=Tracking[[#This Row],[Date]]),(Tracking[Type]&lt;&gt;"Income") * (-1) + (Tracking[Type]="Income"), --(Tracking[Payment Type] = "Cash"))</f>
        <v>1300</v>
      </c>
      <c r="M90" s="40" cm="1">
        <f t="array" ref="M90">SUMPRODUCT(Tracking[Amount LBP],--(Tracking[Date]&lt;=Tracking[[#This Row],[Date]]),(Tracking[Type]&lt;&gt;"Income") * (-1) + (Tracking[Type]="Income"), --(Tracking[Payment Type] = "Cash"))</f>
        <v>335000</v>
      </c>
      <c r="N90" s="40" cm="1">
        <f t="array" ref="N90">SUMPRODUCT(Tracking[Amount €],--(Tracking[Date]&lt;=Tracking[[#This Row],[Date]]),(Tracking[Type]&lt;&gt;"Income") * (-1) + (Tracking[Type]="Income"), --(Tracking[Payment Type] = "Cash"))</f>
        <v>6204.07</v>
      </c>
      <c r="O90" s="43" cm="1">
        <f t="array" ref="O90">IF(AND(Tracking[[#This Row],[Type]]="Income", Shift_Late_Income_Status="Active", DAY(Tracking[[#This Row],[Date]])&gt;=Shift_Late_Income_Starting_Day),
DATE(YEAR(Tracking[[#This Row],[Date]]), MONTH(Tracking[[#This Row],[Date]])+1, 1),
Tracking[[#This Row],[Date]])</f>
        <v>46022</v>
      </c>
    </row>
    <row r="91" spans="3:15" hidden="1" x14ac:dyDescent="0.25">
      <c r="C91" s="38">
        <v>46022</v>
      </c>
      <c r="D91" s="38" t="s">
        <v>82</v>
      </c>
      <c r="E91" s="37" t="s">
        <v>27</v>
      </c>
      <c r="F91" s="37" t="s">
        <v>30</v>
      </c>
      <c r="G91" s="37" t="s">
        <v>112</v>
      </c>
      <c r="H91" s="84">
        <v>55</v>
      </c>
      <c r="I91" s="85"/>
      <c r="J91" s="86"/>
      <c r="K91" s="47"/>
      <c r="L91" s="40" cm="1">
        <f t="array" ref="L91">SUMPRODUCT(Tracking[Amount $],--(Tracking[Date]&lt;=Tracking[[#This Row],[Date]]),(Tracking[Type]&lt;&gt;"Income") * (-1) + (Tracking[Type]="Income"), --(Tracking[Payment Type] = "Cash"))</f>
        <v>1300</v>
      </c>
      <c r="M91" s="40" cm="1">
        <f t="array" ref="M91">SUMPRODUCT(Tracking[Amount LBP],--(Tracking[Date]&lt;=Tracking[[#This Row],[Date]]),(Tracking[Type]&lt;&gt;"Income") * (-1) + (Tracking[Type]="Income"), --(Tracking[Payment Type] = "Cash"))</f>
        <v>335000</v>
      </c>
      <c r="N91" s="40" cm="1">
        <f t="array" ref="N91">SUMPRODUCT(Tracking[Amount €],--(Tracking[Date]&lt;=Tracking[[#This Row],[Date]]),(Tracking[Type]&lt;&gt;"Income") * (-1) + (Tracking[Type]="Income"), --(Tracking[Payment Type] = "Cash"))</f>
        <v>6204.07</v>
      </c>
      <c r="O91" s="43" cm="1">
        <f t="array" ref="O91">IF(AND(Tracking[[#This Row],[Type]]="Income", Shift_Late_Income_Status="Active", DAY(Tracking[[#This Row],[Date]])&gt;=Shift_Late_Income_Starting_Day),
DATE(YEAR(Tracking[[#This Row],[Date]]), MONTH(Tracking[[#This Row],[Date]])+1, 1),
Tracking[[#This Row],[Date]])</f>
        <v>46022</v>
      </c>
    </row>
    <row r="92" spans="3:15" hidden="1" x14ac:dyDescent="0.25">
      <c r="C92" s="38">
        <v>46022</v>
      </c>
      <c r="D92" s="38" t="s">
        <v>82</v>
      </c>
      <c r="E92" s="37" t="s">
        <v>27</v>
      </c>
      <c r="F92" s="37" t="s">
        <v>30</v>
      </c>
      <c r="G92" s="37" t="s">
        <v>341</v>
      </c>
      <c r="H92" s="84">
        <v>500</v>
      </c>
      <c r="I92" s="85"/>
      <c r="J92" s="86"/>
      <c r="K92" s="47"/>
      <c r="L92" s="40" cm="1">
        <f t="array" ref="L92">SUMPRODUCT(Tracking[Amount $],--(Tracking[Date]&lt;=Tracking[[#This Row],[Date]]),(Tracking[Type]&lt;&gt;"Income") * (-1) + (Tracking[Type]="Income"), --(Tracking[Payment Type] = "Cash"))</f>
        <v>1300</v>
      </c>
      <c r="M92" s="40" cm="1">
        <f t="array" ref="M92">SUMPRODUCT(Tracking[Amount LBP],--(Tracking[Date]&lt;=Tracking[[#This Row],[Date]]),(Tracking[Type]&lt;&gt;"Income") * (-1) + (Tracking[Type]="Income"), --(Tracking[Payment Type] = "Cash"))</f>
        <v>335000</v>
      </c>
      <c r="N92" s="40" cm="1">
        <f t="array" ref="N92">SUMPRODUCT(Tracking[Amount €],--(Tracking[Date]&lt;=Tracking[[#This Row],[Date]]),(Tracking[Type]&lt;&gt;"Income") * (-1) + (Tracking[Type]="Income"), --(Tracking[Payment Type] = "Cash"))</f>
        <v>6204.07</v>
      </c>
      <c r="O92" s="43" cm="1">
        <f t="array" ref="O92">IF(AND(Tracking[[#This Row],[Type]]="Income", Shift_Late_Income_Status="Active", DAY(Tracking[[#This Row],[Date]])&gt;=Shift_Late_Income_Starting_Day),
DATE(YEAR(Tracking[[#This Row],[Date]]), MONTH(Tracking[[#This Row],[Date]])+1, 1),
Tracking[[#This Row],[Date]])</f>
        <v>46022</v>
      </c>
    </row>
    <row r="93" spans="3:15" hidden="1" x14ac:dyDescent="0.25">
      <c r="C93" s="38">
        <v>46022</v>
      </c>
      <c r="D93" s="38" t="s">
        <v>82</v>
      </c>
      <c r="E93" s="37" t="s">
        <v>27</v>
      </c>
      <c r="F93" s="37" t="s">
        <v>28</v>
      </c>
      <c r="G93" s="37" t="s">
        <v>83</v>
      </c>
      <c r="H93" s="84">
        <v>24</v>
      </c>
      <c r="I93" s="85"/>
      <c r="J93" s="86"/>
      <c r="K93" s="47"/>
      <c r="L93" s="40" cm="1">
        <f t="array" ref="L93">SUMPRODUCT(Tracking[Amount $],--(Tracking[Date]&lt;=Tracking[[#This Row],[Date]]),(Tracking[Type]&lt;&gt;"Income") * (-1) + (Tracking[Type]="Income"), --(Tracking[Payment Type] = "Cash"))</f>
        <v>1300</v>
      </c>
      <c r="M93" s="40" cm="1">
        <f t="array" ref="M93">SUMPRODUCT(Tracking[Amount LBP],--(Tracking[Date]&lt;=Tracking[[#This Row],[Date]]),(Tracking[Type]&lt;&gt;"Income") * (-1) + (Tracking[Type]="Income"), --(Tracking[Payment Type] = "Cash"))</f>
        <v>335000</v>
      </c>
      <c r="N93" s="40" cm="1">
        <f t="array" ref="N93">SUMPRODUCT(Tracking[Amount €],--(Tracking[Date]&lt;=Tracking[[#This Row],[Date]]),(Tracking[Type]&lt;&gt;"Income") * (-1) + (Tracking[Type]="Income"), --(Tracking[Payment Type] = "Cash"))</f>
        <v>6204.07</v>
      </c>
      <c r="O93" s="43" cm="1">
        <f t="array" ref="O93">IF(AND(Tracking[[#This Row],[Type]]="Income", Shift_Late_Income_Status="Active", DAY(Tracking[[#This Row],[Date]])&gt;=Shift_Late_Income_Starting_Day),
DATE(YEAR(Tracking[[#This Row],[Date]]), MONTH(Tracking[[#This Row],[Date]])+1, 1),
Tracking[[#This Row],[Date]])</f>
        <v>46022</v>
      </c>
    </row>
    <row r="94" spans="3:15" hidden="1" x14ac:dyDescent="0.25">
      <c r="C94" s="38">
        <v>46022</v>
      </c>
      <c r="D94" s="38" t="s">
        <v>82</v>
      </c>
      <c r="E94" s="37" t="s">
        <v>27</v>
      </c>
      <c r="F94" s="37" t="s">
        <v>28</v>
      </c>
      <c r="G94" s="37" t="s">
        <v>84</v>
      </c>
      <c r="H94" s="84">
        <v>16</v>
      </c>
      <c r="I94" s="85"/>
      <c r="J94" s="86"/>
      <c r="K94" s="47"/>
      <c r="L94" s="40" cm="1">
        <f t="array" ref="L94">SUMPRODUCT(Tracking[Amount $],--(Tracking[Date]&lt;=Tracking[[#This Row],[Date]]),(Tracking[Type]&lt;&gt;"Income") * (-1) + (Tracking[Type]="Income"), --(Tracking[Payment Type] = "Cash"))</f>
        <v>1300</v>
      </c>
      <c r="M94" s="40" cm="1">
        <f t="array" ref="M94">SUMPRODUCT(Tracking[Amount LBP],--(Tracking[Date]&lt;=Tracking[[#This Row],[Date]]),(Tracking[Type]&lt;&gt;"Income") * (-1) + (Tracking[Type]="Income"), --(Tracking[Payment Type] = "Cash"))</f>
        <v>335000</v>
      </c>
      <c r="N94" s="40" cm="1">
        <f t="array" ref="N94">SUMPRODUCT(Tracking[Amount €],--(Tracking[Date]&lt;=Tracking[[#This Row],[Date]]),(Tracking[Type]&lt;&gt;"Income") * (-1) + (Tracking[Type]="Income"), --(Tracking[Payment Type] = "Cash"))</f>
        <v>6204.07</v>
      </c>
      <c r="O94" s="43" cm="1">
        <f t="array" ref="O94">IF(AND(Tracking[[#This Row],[Type]]="Income", Shift_Late_Income_Status="Active", DAY(Tracking[[#This Row],[Date]])&gt;=Shift_Late_Income_Starting_Day),
DATE(YEAR(Tracking[[#This Row],[Date]]), MONTH(Tracking[[#This Row],[Date]])+1, 1),
Tracking[[#This Row],[Date]])</f>
        <v>46022</v>
      </c>
    </row>
    <row r="95" spans="3:15" hidden="1" x14ac:dyDescent="0.25">
      <c r="C95" s="38">
        <v>46022</v>
      </c>
      <c r="D95" s="38" t="s">
        <v>82</v>
      </c>
      <c r="E95" s="37" t="s">
        <v>27</v>
      </c>
      <c r="F95" s="37" t="s">
        <v>29</v>
      </c>
      <c r="G95" s="37" t="s">
        <v>224</v>
      </c>
      <c r="H95" s="84">
        <v>5</v>
      </c>
      <c r="I95" s="85"/>
      <c r="J95" s="86"/>
      <c r="K95" s="47"/>
      <c r="L95" s="40" cm="1">
        <f t="array" ref="L95">SUMPRODUCT(Tracking[Amount $],--(Tracking[Date]&lt;=Tracking[[#This Row],[Date]]),(Tracking[Type]&lt;&gt;"Income") * (-1) + (Tracking[Type]="Income"), --(Tracking[Payment Type] = "Cash"))</f>
        <v>1300</v>
      </c>
      <c r="M95" s="40" cm="1">
        <f t="array" ref="M95">SUMPRODUCT(Tracking[Amount LBP],--(Tracking[Date]&lt;=Tracking[[#This Row],[Date]]),(Tracking[Type]&lt;&gt;"Income") * (-1) + (Tracking[Type]="Income"), --(Tracking[Payment Type] = "Cash"))</f>
        <v>335000</v>
      </c>
      <c r="N95" s="40" cm="1">
        <f t="array" ref="N95">SUMPRODUCT(Tracking[Amount €],--(Tracking[Date]&lt;=Tracking[[#This Row],[Date]]),(Tracking[Type]&lt;&gt;"Income") * (-1) + (Tracking[Type]="Income"), --(Tracking[Payment Type] = "Cash"))</f>
        <v>6204.07</v>
      </c>
      <c r="O95" s="43" cm="1">
        <f t="array" ref="O95">IF(AND(Tracking[[#This Row],[Type]]="Income", Shift_Late_Income_Status="Active", DAY(Tracking[[#This Row],[Date]])&gt;=Shift_Late_Income_Starting_Day),
DATE(YEAR(Tracking[[#This Row],[Date]]), MONTH(Tracking[[#This Row],[Date]])+1, 1),
Tracking[[#This Row],[Date]])</f>
        <v>46022</v>
      </c>
    </row>
    <row r="96" spans="3:15" hidden="1" x14ac:dyDescent="0.25">
      <c r="C96" s="38">
        <v>46022</v>
      </c>
      <c r="D96" s="38" t="s">
        <v>82</v>
      </c>
      <c r="E96" s="37" t="s">
        <v>27</v>
      </c>
      <c r="F96" s="37" t="s">
        <v>29</v>
      </c>
      <c r="G96" s="37" t="s">
        <v>226</v>
      </c>
      <c r="H96" s="84">
        <v>5</v>
      </c>
      <c r="I96" s="85"/>
      <c r="J96" s="86"/>
      <c r="K96" s="47"/>
      <c r="L96" s="40" cm="1">
        <f t="array" ref="L96">SUMPRODUCT(Tracking[Amount $],--(Tracking[Date]&lt;=Tracking[[#This Row],[Date]]),(Tracking[Type]&lt;&gt;"Income") * (-1) + (Tracking[Type]="Income"), --(Tracking[Payment Type] = "Cash"))</f>
        <v>1300</v>
      </c>
      <c r="M96" s="40" cm="1">
        <f t="array" ref="M96">SUMPRODUCT(Tracking[Amount LBP],--(Tracking[Date]&lt;=Tracking[[#This Row],[Date]]),(Tracking[Type]&lt;&gt;"Income") * (-1) + (Tracking[Type]="Income"), --(Tracking[Payment Type] = "Cash"))</f>
        <v>335000</v>
      </c>
      <c r="N96" s="40" cm="1">
        <f t="array" ref="N96">SUMPRODUCT(Tracking[Amount €],--(Tracking[Date]&lt;=Tracking[[#This Row],[Date]]),(Tracking[Type]&lt;&gt;"Income") * (-1) + (Tracking[Type]="Income"), --(Tracking[Payment Type] = "Cash"))</f>
        <v>6204.07</v>
      </c>
      <c r="O96" s="43" cm="1">
        <f t="array" ref="O96">IF(AND(Tracking[[#This Row],[Type]]="Income", Shift_Late_Income_Status="Active", DAY(Tracking[[#This Row],[Date]])&gt;=Shift_Late_Income_Starting_Day),
DATE(YEAR(Tracking[[#This Row],[Date]]), MONTH(Tracking[[#This Row],[Date]])+1, 1),
Tracking[[#This Row],[Date]])</f>
        <v>46022</v>
      </c>
    </row>
    <row r="97" spans="3:15" hidden="1" x14ac:dyDescent="0.25">
      <c r="C97" s="38">
        <v>46022</v>
      </c>
      <c r="D97" s="38" t="s">
        <v>82</v>
      </c>
      <c r="E97" s="37" t="s">
        <v>27</v>
      </c>
      <c r="F97" s="37" t="s">
        <v>28</v>
      </c>
      <c r="G97" s="37" t="s">
        <v>68</v>
      </c>
      <c r="H97" s="84">
        <v>17</v>
      </c>
      <c r="I97" s="85"/>
      <c r="J97" s="86"/>
      <c r="K97" s="47"/>
      <c r="L97" s="40" cm="1">
        <f t="array" ref="L97">SUMPRODUCT(Tracking[Amount $],--(Tracking[Date]&lt;=Tracking[[#This Row],[Date]]),(Tracking[Type]&lt;&gt;"Income") * (-1) + (Tracking[Type]="Income"), --(Tracking[Payment Type] = "Cash"))</f>
        <v>1300</v>
      </c>
      <c r="M97" s="40" cm="1">
        <f t="array" ref="M97">SUMPRODUCT(Tracking[Amount LBP],--(Tracking[Date]&lt;=Tracking[[#This Row],[Date]]),(Tracking[Type]&lt;&gt;"Income") * (-1) + (Tracking[Type]="Income"), --(Tracking[Payment Type] = "Cash"))</f>
        <v>335000</v>
      </c>
      <c r="N97" s="40" cm="1">
        <f t="array" ref="N97">SUMPRODUCT(Tracking[Amount €],--(Tracking[Date]&lt;=Tracking[[#This Row],[Date]]),(Tracking[Type]&lt;&gt;"Income") * (-1) + (Tracking[Type]="Income"), --(Tracking[Payment Type] = "Cash"))</f>
        <v>6204.07</v>
      </c>
      <c r="O97" s="43" cm="1">
        <f t="array" ref="O97">IF(AND(Tracking[[#This Row],[Type]]="Income", Shift_Late_Income_Status="Active", DAY(Tracking[[#This Row],[Date]])&gt;=Shift_Late_Income_Starting_Day),
DATE(YEAR(Tracking[[#This Row],[Date]]), MONTH(Tracking[[#This Row],[Date]])+1, 1),
Tracking[[#This Row],[Date]])</f>
        <v>46022</v>
      </c>
    </row>
    <row r="98" spans="3:15" x14ac:dyDescent="0.25">
      <c r="C98" s="38">
        <v>46025</v>
      </c>
      <c r="D98" s="38" t="s">
        <v>82</v>
      </c>
      <c r="E98" s="37" t="s">
        <v>27</v>
      </c>
      <c r="F98" s="37" t="s">
        <v>28</v>
      </c>
      <c r="G98" s="37" t="s">
        <v>68</v>
      </c>
      <c r="H98" s="84">
        <v>14</v>
      </c>
      <c r="I98" s="85"/>
      <c r="J98" s="86"/>
      <c r="K98" s="47"/>
      <c r="L98" s="40" cm="1">
        <f t="array" ref="L98">SUMPRODUCT(Tracking[Amount $],--(Tracking[Date]&lt;=Tracking[[#This Row],[Date]]),(Tracking[Type]&lt;&gt;"Income") * (-1) + (Tracking[Type]="Income"), --(Tracking[Payment Type] = "Cash"))</f>
        <v>1280</v>
      </c>
      <c r="M98" s="40" cm="1">
        <f t="array" ref="M98">SUMPRODUCT(Tracking[Amount LBP],--(Tracking[Date]&lt;=Tracking[[#This Row],[Date]]),(Tracking[Type]&lt;&gt;"Income") * (-1) + (Tracking[Type]="Income"), --(Tracking[Payment Type] = "Cash"))</f>
        <v>675000</v>
      </c>
      <c r="N98" s="40" cm="1">
        <f t="array" ref="N98">SUMPRODUCT(Tracking[Amount €],--(Tracking[Date]&lt;=Tracking[[#This Row],[Date]]),(Tracking[Type]&lt;&gt;"Income") * (-1) + (Tracking[Type]="Income"), --(Tracking[Payment Type] = "Cash"))</f>
        <v>6204.07</v>
      </c>
      <c r="O98" s="43" cm="1">
        <f t="array" ref="O98">IF(AND(Tracking[[#This Row],[Type]]="Income", Shift_Late_Income_Status="Active", DAY(Tracking[[#This Row],[Date]])&gt;=Shift_Late_Income_Starting_Day),
DATE(YEAR(Tracking[[#This Row],[Date]]), MONTH(Tracking[[#This Row],[Date]])+1, 1),
Tracking[[#This Row],[Date]])</f>
        <v>46025</v>
      </c>
    </row>
    <row r="99" spans="3:15" x14ac:dyDescent="0.25">
      <c r="C99" s="38">
        <v>46025</v>
      </c>
      <c r="D99" s="38" t="s">
        <v>82</v>
      </c>
      <c r="E99" s="37" t="s">
        <v>27</v>
      </c>
      <c r="F99" s="37" t="s">
        <v>32</v>
      </c>
      <c r="G99" s="37" t="s">
        <v>78</v>
      </c>
      <c r="H99" s="84">
        <v>25</v>
      </c>
      <c r="I99" s="85"/>
      <c r="J99" s="86"/>
      <c r="K99" s="47"/>
      <c r="L99" s="40" cm="1">
        <f t="array" ref="L99">SUMPRODUCT(Tracking[Amount $],--(Tracking[Date]&lt;=Tracking[[#This Row],[Date]]),(Tracking[Type]&lt;&gt;"Income") * (-1) + (Tracking[Type]="Income"), --(Tracking[Payment Type] = "Cash"))</f>
        <v>1280</v>
      </c>
      <c r="M99" s="40" cm="1">
        <f t="array" ref="M99">SUMPRODUCT(Tracking[Amount LBP],--(Tracking[Date]&lt;=Tracking[[#This Row],[Date]]),(Tracking[Type]&lt;&gt;"Income") * (-1) + (Tracking[Type]="Income"), --(Tracking[Payment Type] = "Cash"))</f>
        <v>675000</v>
      </c>
      <c r="N99" s="40" cm="1">
        <f t="array" ref="N99">SUMPRODUCT(Tracking[Amount €],--(Tracking[Date]&lt;=Tracking[[#This Row],[Date]]),(Tracking[Type]&lt;&gt;"Income") * (-1) + (Tracking[Type]="Income"), --(Tracking[Payment Type] = "Cash"))</f>
        <v>6204.07</v>
      </c>
      <c r="O99" s="43" cm="1">
        <f t="array" ref="O99">IF(AND(Tracking[[#This Row],[Type]]="Income", Shift_Late_Income_Status="Active", DAY(Tracking[[#This Row],[Date]])&gt;=Shift_Late_Income_Starting_Day),
DATE(YEAR(Tracking[[#This Row],[Date]]), MONTH(Tracking[[#This Row],[Date]])+1, 1),
Tracking[[#This Row],[Date]])</f>
        <v>46025</v>
      </c>
    </row>
    <row r="100" spans="3:15" x14ac:dyDescent="0.25">
      <c r="C100" s="38">
        <v>46025</v>
      </c>
      <c r="D100" s="38" t="s">
        <v>16</v>
      </c>
      <c r="E100" s="37" t="s">
        <v>27</v>
      </c>
      <c r="F100" s="37" t="s">
        <v>28</v>
      </c>
      <c r="G100" s="37" t="s">
        <v>242</v>
      </c>
      <c r="H100" s="84">
        <v>20</v>
      </c>
      <c r="I100" s="85">
        <v>-390000</v>
      </c>
      <c r="J100" s="86"/>
      <c r="K100" s="47"/>
      <c r="L100" s="40" cm="1">
        <f t="array" ref="L100">SUMPRODUCT(Tracking[Amount $],--(Tracking[Date]&lt;=Tracking[[#This Row],[Date]]),(Tracking[Type]&lt;&gt;"Income") * (-1) + (Tracking[Type]="Income"), --(Tracking[Payment Type] = "Cash"))</f>
        <v>1280</v>
      </c>
      <c r="M100" s="40" cm="1">
        <f t="array" ref="M100">SUMPRODUCT(Tracking[Amount LBP],--(Tracking[Date]&lt;=Tracking[[#This Row],[Date]]),(Tracking[Type]&lt;&gt;"Income") * (-1) + (Tracking[Type]="Income"), --(Tracking[Payment Type] = "Cash"))</f>
        <v>675000</v>
      </c>
      <c r="N100" s="40" cm="1">
        <f t="array" ref="N100">SUMPRODUCT(Tracking[Amount €],--(Tracking[Date]&lt;=Tracking[[#This Row],[Date]]),(Tracking[Type]&lt;&gt;"Income") * (-1) + (Tracking[Type]="Income"), --(Tracking[Payment Type] = "Cash"))</f>
        <v>6204.07</v>
      </c>
      <c r="O100" s="43" cm="1">
        <f t="array" ref="O100">IF(AND(Tracking[[#This Row],[Type]]="Income", Shift_Late_Income_Status="Active", DAY(Tracking[[#This Row],[Date]])&gt;=Shift_Late_Income_Starting_Day),
DATE(YEAR(Tracking[[#This Row],[Date]]), MONTH(Tracking[[#This Row],[Date]])+1, 1),
Tracking[[#This Row],[Date]])</f>
        <v>46025</v>
      </c>
    </row>
    <row r="101" spans="3:15" x14ac:dyDescent="0.25">
      <c r="C101" s="38">
        <v>46025</v>
      </c>
      <c r="D101" s="38" t="s">
        <v>16</v>
      </c>
      <c r="E101" s="37" t="s">
        <v>27</v>
      </c>
      <c r="F101" s="37" t="s">
        <v>28</v>
      </c>
      <c r="G101" s="37" t="s">
        <v>68</v>
      </c>
      <c r="H101" s="84"/>
      <c r="I101" s="85">
        <v>50000</v>
      </c>
      <c r="J101" s="86"/>
      <c r="K101" s="47"/>
      <c r="L101" s="40" cm="1">
        <f t="array" ref="L101">SUMPRODUCT(Tracking[Amount $],--(Tracking[Date]&lt;=Tracking[[#This Row],[Date]]),(Tracking[Type]&lt;&gt;"Income") * (-1) + (Tracking[Type]="Income"), --(Tracking[Payment Type] = "Cash"))</f>
        <v>1280</v>
      </c>
      <c r="M101" s="40" cm="1">
        <f t="array" ref="M101">SUMPRODUCT(Tracking[Amount LBP],--(Tracking[Date]&lt;=Tracking[[#This Row],[Date]]),(Tracking[Type]&lt;&gt;"Income") * (-1) + (Tracking[Type]="Income"), --(Tracking[Payment Type] = "Cash"))</f>
        <v>675000</v>
      </c>
      <c r="N101" s="40" cm="1">
        <f t="array" ref="N101">SUMPRODUCT(Tracking[Amount €],--(Tracking[Date]&lt;=Tracking[[#This Row],[Date]]),(Tracking[Type]&lt;&gt;"Income") * (-1) + (Tracking[Type]="Income"), --(Tracking[Payment Type] = "Cash"))</f>
        <v>6204.07</v>
      </c>
      <c r="O101" s="43" cm="1">
        <f t="array" ref="O101">IF(AND(Tracking[[#This Row],[Type]]="Income", Shift_Late_Income_Status="Active", DAY(Tracking[[#This Row],[Date]])&gt;=Shift_Late_Income_Starting_Day),
DATE(YEAR(Tracking[[#This Row],[Date]]), MONTH(Tracking[[#This Row],[Date]])+1, 1),
Tracking[[#This Row],[Date]])</f>
        <v>46025</v>
      </c>
    </row>
    <row r="102" spans="3:15" x14ac:dyDescent="0.25">
      <c r="C102" s="38">
        <v>46027</v>
      </c>
      <c r="D102" s="38" t="s">
        <v>16</v>
      </c>
      <c r="E102" s="37" t="s">
        <v>27</v>
      </c>
      <c r="F102" s="37" t="s">
        <v>33</v>
      </c>
      <c r="G102" s="37" t="s">
        <v>200</v>
      </c>
      <c r="H102" s="84">
        <v>20</v>
      </c>
      <c r="I102" s="85"/>
      <c r="J102" s="86"/>
      <c r="K102" s="47"/>
      <c r="L102" s="40" cm="1">
        <f t="array" ref="L102">SUMPRODUCT(Tracking[Amount $],--(Tracking[Date]&lt;=Tracking[[#This Row],[Date]]),(Tracking[Type]&lt;&gt;"Income") * (-1) + (Tracking[Type]="Income"), --(Tracking[Payment Type] = "Cash"))</f>
        <v>1200</v>
      </c>
      <c r="M102" s="40" cm="1">
        <f t="array" ref="M102">SUMPRODUCT(Tracking[Amount LBP],--(Tracking[Date]&lt;=Tracking[[#This Row],[Date]]),(Tracking[Type]&lt;&gt;"Income") * (-1) + (Tracking[Type]="Income"), --(Tracking[Payment Type] = "Cash"))</f>
        <v>1245000</v>
      </c>
      <c r="N102" s="40" cm="1">
        <f t="array" ref="N102">SUMPRODUCT(Tracking[Amount €],--(Tracking[Date]&lt;=Tracking[[#This Row],[Date]]),(Tracking[Type]&lt;&gt;"Income") * (-1) + (Tracking[Type]="Income"), --(Tracking[Payment Type] = "Cash"))</f>
        <v>6204.07</v>
      </c>
      <c r="O102" s="43" cm="1">
        <f t="array" ref="O102">IF(AND(Tracking[[#This Row],[Type]]="Income", Shift_Late_Income_Status="Active", DAY(Tracking[[#This Row],[Date]])&gt;=Shift_Late_Income_Starting_Day),
DATE(YEAR(Tracking[[#This Row],[Date]]), MONTH(Tracking[[#This Row],[Date]])+1, 1),
Tracking[[#This Row],[Date]])</f>
        <v>46027</v>
      </c>
    </row>
    <row r="103" spans="3:15" x14ac:dyDescent="0.25">
      <c r="C103" s="38">
        <v>46027</v>
      </c>
      <c r="D103" s="38" t="s">
        <v>16</v>
      </c>
      <c r="E103" s="37" t="s">
        <v>27</v>
      </c>
      <c r="F103" s="37" t="s">
        <v>42</v>
      </c>
      <c r="G103" s="37" t="s">
        <v>342</v>
      </c>
      <c r="H103" s="84">
        <v>60</v>
      </c>
      <c r="I103" s="85"/>
      <c r="J103" s="86"/>
      <c r="K103" s="47"/>
      <c r="L103" s="40" cm="1">
        <f t="array" ref="L103">SUMPRODUCT(Tracking[Amount $],--(Tracking[Date]&lt;=Tracking[[#This Row],[Date]]),(Tracking[Type]&lt;&gt;"Income") * (-1) + (Tracking[Type]="Income"), --(Tracking[Payment Type] = "Cash"))</f>
        <v>1200</v>
      </c>
      <c r="M103" s="40" cm="1">
        <f t="array" ref="M103">SUMPRODUCT(Tracking[Amount LBP],--(Tracking[Date]&lt;=Tracking[[#This Row],[Date]]),(Tracking[Type]&lt;&gt;"Income") * (-1) + (Tracking[Type]="Income"), --(Tracking[Payment Type] = "Cash"))</f>
        <v>1245000</v>
      </c>
      <c r="N103" s="40" cm="1">
        <f t="array" ref="N103">SUMPRODUCT(Tracking[Amount €],--(Tracking[Date]&lt;=Tracking[[#This Row],[Date]]),(Tracking[Type]&lt;&gt;"Income") * (-1) + (Tracking[Type]="Income"), --(Tracking[Payment Type] = "Cash"))</f>
        <v>6204.07</v>
      </c>
      <c r="O103" s="43" cm="1">
        <f t="array" ref="O103">IF(AND(Tracking[[#This Row],[Type]]="Income", Shift_Late_Income_Status="Active", DAY(Tracking[[#This Row],[Date]])&gt;=Shift_Late_Income_Starting_Day),
DATE(YEAR(Tracking[[#This Row],[Date]]), MONTH(Tracking[[#This Row],[Date]])+1, 1),
Tracking[[#This Row],[Date]])</f>
        <v>46027</v>
      </c>
    </row>
    <row r="104" spans="3:15" x14ac:dyDescent="0.25">
      <c r="C104" s="38">
        <v>46027</v>
      </c>
      <c r="D104" s="38" t="s">
        <v>16</v>
      </c>
      <c r="E104" s="37" t="s">
        <v>27</v>
      </c>
      <c r="F104" s="37" t="s">
        <v>42</v>
      </c>
      <c r="G104" s="37" t="s">
        <v>109</v>
      </c>
      <c r="H104" s="84"/>
      <c r="I104" s="85">
        <v>250000</v>
      </c>
      <c r="J104" s="86"/>
      <c r="K104" s="47" t="s">
        <v>343</v>
      </c>
      <c r="L104" s="40" cm="1">
        <f t="array" ref="L104">SUMPRODUCT(Tracking[Amount $],--(Tracking[Date]&lt;=Tracking[[#This Row],[Date]]),(Tracking[Type]&lt;&gt;"Income") * (-1) + (Tracking[Type]="Income"), --(Tracking[Payment Type] = "Cash"))</f>
        <v>1200</v>
      </c>
      <c r="M104" s="40" cm="1">
        <f t="array" ref="M104">SUMPRODUCT(Tracking[Amount LBP],--(Tracking[Date]&lt;=Tracking[[#This Row],[Date]]),(Tracking[Type]&lt;&gt;"Income") * (-1) + (Tracking[Type]="Income"), --(Tracking[Payment Type] = "Cash"))</f>
        <v>1245000</v>
      </c>
      <c r="N104" s="40" cm="1">
        <f t="array" ref="N104">SUMPRODUCT(Tracking[Amount €],--(Tracking[Date]&lt;=Tracking[[#This Row],[Date]]),(Tracking[Type]&lt;&gt;"Income") * (-1) + (Tracking[Type]="Income"), --(Tracking[Payment Type] = "Cash"))</f>
        <v>6204.07</v>
      </c>
      <c r="O104" s="43" cm="1">
        <f t="array" ref="O104">IF(AND(Tracking[[#This Row],[Type]]="Income", Shift_Late_Income_Status="Active", DAY(Tracking[[#This Row],[Date]])&gt;=Shift_Late_Income_Starting_Day),
DATE(YEAR(Tracking[[#This Row],[Date]]), MONTH(Tracking[[#This Row],[Date]])+1, 1),
Tracking[[#This Row],[Date]])</f>
        <v>46027</v>
      </c>
    </row>
    <row r="105" spans="3:15" x14ac:dyDescent="0.25">
      <c r="C105" s="38">
        <v>46027</v>
      </c>
      <c r="D105" s="38" t="s">
        <v>82</v>
      </c>
      <c r="E105" s="37" t="s">
        <v>27</v>
      </c>
      <c r="F105" s="37" t="s">
        <v>42</v>
      </c>
      <c r="G105" s="37" t="s">
        <v>230</v>
      </c>
      <c r="H105" s="84">
        <v>29</v>
      </c>
      <c r="I105" s="85"/>
      <c r="J105" s="86"/>
      <c r="K105" s="47" t="s">
        <v>344</v>
      </c>
      <c r="L105" s="40" cm="1">
        <f t="array" ref="L105">SUMPRODUCT(Tracking[Amount $],--(Tracking[Date]&lt;=Tracking[[#This Row],[Date]]),(Tracking[Type]&lt;&gt;"Income") * (-1) + (Tracking[Type]="Income"), --(Tracking[Payment Type] = "Cash"))</f>
        <v>1200</v>
      </c>
      <c r="M105" s="40" cm="1">
        <f t="array" ref="M105">SUMPRODUCT(Tracking[Amount LBP],--(Tracking[Date]&lt;=Tracking[[#This Row],[Date]]),(Tracking[Type]&lt;&gt;"Income") * (-1) + (Tracking[Type]="Income"), --(Tracking[Payment Type] = "Cash"))</f>
        <v>1245000</v>
      </c>
      <c r="N105" s="40" cm="1">
        <f t="array" ref="N105">SUMPRODUCT(Tracking[Amount €],--(Tracking[Date]&lt;=Tracking[[#This Row],[Date]]),(Tracking[Type]&lt;&gt;"Income") * (-1) + (Tracking[Type]="Income"), --(Tracking[Payment Type] = "Cash"))</f>
        <v>6204.07</v>
      </c>
      <c r="O105" s="43" cm="1">
        <f t="array" ref="O105">IF(AND(Tracking[[#This Row],[Type]]="Income", Shift_Late_Income_Status="Active", DAY(Tracking[[#This Row],[Date]])&gt;=Shift_Late_Income_Starting_Day),
DATE(YEAR(Tracking[[#This Row],[Date]]), MONTH(Tracking[[#This Row],[Date]])+1, 1),
Tracking[[#This Row],[Date]])</f>
        <v>46027</v>
      </c>
    </row>
    <row r="106" spans="3:15" x14ac:dyDescent="0.25">
      <c r="C106" s="38">
        <v>46027</v>
      </c>
      <c r="D106" s="38" t="s">
        <v>16</v>
      </c>
      <c r="E106" s="37" t="s">
        <v>27</v>
      </c>
      <c r="F106" s="37" t="s">
        <v>34</v>
      </c>
      <c r="G106" s="37" t="s">
        <v>289</v>
      </c>
      <c r="H106" s="84"/>
      <c r="I106" s="85">
        <v>-290000</v>
      </c>
      <c r="J106" s="86"/>
      <c r="K106" s="105" t="s">
        <v>69</v>
      </c>
      <c r="L106" s="40" cm="1">
        <f t="array" ref="L106">SUMPRODUCT(Tracking[Amount $],--(Tracking[Date]&lt;=Tracking[[#This Row],[Date]]),(Tracking[Type]&lt;&gt;"Income") * (-1) + (Tracking[Type]="Income"), --(Tracking[Payment Type] = "Cash"))</f>
        <v>1200</v>
      </c>
      <c r="M106" s="40" cm="1">
        <f t="array" ref="M106">SUMPRODUCT(Tracking[Amount LBP],--(Tracking[Date]&lt;=Tracking[[#This Row],[Date]]),(Tracking[Type]&lt;&gt;"Income") * (-1) + (Tracking[Type]="Income"), --(Tracking[Payment Type] = "Cash"))</f>
        <v>1245000</v>
      </c>
      <c r="N106" s="40" cm="1">
        <f t="array" ref="N106">SUMPRODUCT(Tracking[Amount €],--(Tracking[Date]&lt;=Tracking[[#This Row],[Date]]),(Tracking[Type]&lt;&gt;"Income") * (-1) + (Tracking[Type]="Income"), --(Tracking[Payment Type] = "Cash"))</f>
        <v>6204.07</v>
      </c>
      <c r="O106" s="43" cm="1">
        <f t="array" ref="O106">IF(AND(Tracking[[#This Row],[Type]]="Income", Shift_Late_Income_Status="Active", DAY(Tracking[[#This Row],[Date]])&gt;=Shift_Late_Income_Starting_Day),
DATE(YEAR(Tracking[[#This Row],[Date]]), MONTH(Tracking[[#This Row],[Date]])+1, 1),
Tracking[[#This Row],[Date]])</f>
        <v>46027</v>
      </c>
    </row>
    <row r="107" spans="3:15" x14ac:dyDescent="0.25">
      <c r="C107" s="38">
        <v>46027</v>
      </c>
      <c r="D107" s="38" t="s">
        <v>16</v>
      </c>
      <c r="E107" s="37" t="s">
        <v>27</v>
      </c>
      <c r="F107" s="37" t="s">
        <v>34</v>
      </c>
      <c r="G107" s="37" t="s">
        <v>289</v>
      </c>
      <c r="H107" s="84"/>
      <c r="I107" s="85">
        <v>-530000</v>
      </c>
      <c r="J107" s="86"/>
      <c r="K107" s="47" t="s">
        <v>345</v>
      </c>
      <c r="L107" s="40" cm="1">
        <f t="array" ref="L107">SUMPRODUCT(Tracking[Amount $],--(Tracking[Date]&lt;=Tracking[[#This Row],[Date]]),(Tracking[Type]&lt;&gt;"Income") * (-1) + (Tracking[Type]="Income"), --(Tracking[Payment Type] = "Cash"))</f>
        <v>1200</v>
      </c>
      <c r="M107" s="40" cm="1">
        <f t="array" ref="M107">SUMPRODUCT(Tracking[Amount LBP],--(Tracking[Date]&lt;=Tracking[[#This Row],[Date]]),(Tracking[Type]&lt;&gt;"Income") * (-1) + (Tracking[Type]="Income"), --(Tracking[Payment Type] = "Cash"))</f>
        <v>1245000</v>
      </c>
      <c r="N107" s="40" cm="1">
        <f t="array" ref="N107">SUMPRODUCT(Tracking[Amount €],--(Tracking[Date]&lt;=Tracking[[#This Row],[Date]]),(Tracking[Type]&lt;&gt;"Income") * (-1) + (Tracking[Type]="Income"), --(Tracking[Payment Type] = "Cash"))</f>
        <v>6204.07</v>
      </c>
      <c r="O107" s="43" cm="1">
        <f t="array" ref="O107">IF(AND(Tracking[[#This Row],[Type]]="Income", Shift_Late_Income_Status="Active", DAY(Tracking[[#This Row],[Date]])&gt;=Shift_Late_Income_Starting_Day),
DATE(YEAR(Tracking[[#This Row],[Date]]), MONTH(Tracking[[#This Row],[Date]])+1, 1),
Tracking[[#This Row],[Date]])</f>
        <v>46027</v>
      </c>
    </row>
    <row r="108" spans="3:15" x14ac:dyDescent="0.25">
      <c r="C108" s="38">
        <v>46027</v>
      </c>
      <c r="D108" s="38" t="s">
        <v>82</v>
      </c>
      <c r="E108" s="37" t="s">
        <v>27</v>
      </c>
      <c r="F108" s="37" t="s">
        <v>34</v>
      </c>
      <c r="G108" s="37" t="s">
        <v>289</v>
      </c>
      <c r="H108" s="84">
        <v>-10</v>
      </c>
      <c r="I108" s="85"/>
      <c r="J108" s="86"/>
      <c r="K108" s="47"/>
      <c r="L108" s="40" cm="1">
        <f t="array" ref="L108">SUMPRODUCT(Tracking[Amount $],--(Tracking[Date]&lt;=Tracking[[#This Row],[Date]]),(Tracking[Type]&lt;&gt;"Income") * (-1) + (Tracking[Type]="Income"), --(Tracking[Payment Type] = "Cash"))</f>
        <v>1200</v>
      </c>
      <c r="M108" s="40" cm="1">
        <f t="array" ref="M108">SUMPRODUCT(Tracking[Amount LBP],--(Tracking[Date]&lt;=Tracking[[#This Row],[Date]]),(Tracking[Type]&lt;&gt;"Income") * (-1) + (Tracking[Type]="Income"), --(Tracking[Payment Type] = "Cash"))</f>
        <v>1245000</v>
      </c>
      <c r="N108" s="40" cm="1">
        <f t="array" ref="N108">SUMPRODUCT(Tracking[Amount €],--(Tracking[Date]&lt;=Tracking[[#This Row],[Date]]),(Tracking[Type]&lt;&gt;"Income") * (-1) + (Tracking[Type]="Income"), --(Tracking[Payment Type] = "Cash"))</f>
        <v>6204.07</v>
      </c>
      <c r="O108" s="43" cm="1">
        <f t="array" ref="O108">IF(AND(Tracking[[#This Row],[Type]]="Income", Shift_Late_Income_Status="Active", DAY(Tracking[[#This Row],[Date]])&gt;=Shift_Late_Income_Starting_Day),
DATE(YEAR(Tracking[[#This Row],[Date]]), MONTH(Tracking[[#This Row],[Date]])+1, 1),
Tracking[[#This Row],[Date]])</f>
        <v>46027</v>
      </c>
    </row>
    <row r="109" spans="3:15" x14ac:dyDescent="0.25">
      <c r="C109" s="38">
        <v>46033</v>
      </c>
      <c r="D109" s="38" t="s">
        <v>16</v>
      </c>
      <c r="E109" s="37" t="s">
        <v>27</v>
      </c>
      <c r="F109" s="37" t="s">
        <v>33</v>
      </c>
      <c r="G109" s="37" t="s">
        <v>71</v>
      </c>
      <c r="H109" s="84">
        <v>20</v>
      </c>
      <c r="I109" s="85"/>
      <c r="J109" s="86"/>
      <c r="K109" s="47"/>
      <c r="L109" s="40" cm="1">
        <f t="array" ref="L109">SUMPRODUCT(Tracking[Amount $],--(Tracking[Date]&lt;=Tracking[[#This Row],[Date]]),(Tracking[Type]&lt;&gt;"Income") * (-1) + (Tracking[Type]="Income"), --(Tracking[Payment Type] = "Cash"))</f>
        <v>892</v>
      </c>
      <c r="M109" s="40" cm="1">
        <f t="array" ref="M109">SUMPRODUCT(Tracking[Amount LBP],--(Tracking[Date]&lt;=Tracking[[#This Row],[Date]]),(Tracking[Type]&lt;&gt;"Income") * (-1) + (Tracking[Type]="Income"), --(Tracking[Payment Type] = "Cash"))</f>
        <v>25000</v>
      </c>
      <c r="N109" s="40" cm="1">
        <f t="array" ref="N109">SUMPRODUCT(Tracking[Amount €],--(Tracking[Date]&lt;=Tracking[[#This Row],[Date]]),(Tracking[Type]&lt;&gt;"Income") * (-1) + (Tracking[Type]="Income"), --(Tracking[Payment Type] = "Cash"))</f>
        <v>6204.07</v>
      </c>
      <c r="O109" s="43" cm="1">
        <f t="array" ref="O109">IF(AND(Tracking[[#This Row],[Type]]="Income", Shift_Late_Income_Status="Active", DAY(Tracking[[#This Row],[Date]])&gt;=Shift_Late_Income_Starting_Day),
DATE(YEAR(Tracking[[#This Row],[Date]]), MONTH(Tracking[[#This Row],[Date]])+1, 1),
Tracking[[#This Row],[Date]])</f>
        <v>46033</v>
      </c>
    </row>
    <row r="110" spans="3:15" x14ac:dyDescent="0.25">
      <c r="C110" s="38">
        <v>46033</v>
      </c>
      <c r="D110" s="38" t="s">
        <v>16</v>
      </c>
      <c r="E110" s="37" t="s">
        <v>27</v>
      </c>
      <c r="F110" s="37" t="s">
        <v>41</v>
      </c>
      <c r="G110" s="37" t="s">
        <v>346</v>
      </c>
      <c r="H110" s="84"/>
      <c r="I110" s="85">
        <v>300000</v>
      </c>
      <c r="J110" s="86"/>
      <c r="K110" s="47" t="s">
        <v>347</v>
      </c>
      <c r="L110" s="40" cm="1">
        <f t="array" ref="L110">SUMPRODUCT(Tracking[Amount $],--(Tracking[Date]&lt;=Tracking[[#This Row],[Date]]),(Tracking[Type]&lt;&gt;"Income") * (-1) + (Tracking[Type]="Income"), --(Tracking[Payment Type] = "Cash"))</f>
        <v>892</v>
      </c>
      <c r="M110" s="40" cm="1">
        <f t="array" ref="M110">SUMPRODUCT(Tracking[Amount LBP],--(Tracking[Date]&lt;=Tracking[[#This Row],[Date]]),(Tracking[Type]&lt;&gt;"Income") * (-1) + (Tracking[Type]="Income"), --(Tracking[Payment Type] = "Cash"))</f>
        <v>25000</v>
      </c>
      <c r="N110" s="40" cm="1">
        <f t="array" ref="N110">SUMPRODUCT(Tracking[Amount €],--(Tracking[Date]&lt;=Tracking[[#This Row],[Date]]),(Tracking[Type]&lt;&gt;"Income") * (-1) + (Tracking[Type]="Income"), --(Tracking[Payment Type] = "Cash"))</f>
        <v>6204.07</v>
      </c>
      <c r="O110" s="43" cm="1">
        <f t="array" ref="O110">IF(AND(Tracking[[#This Row],[Type]]="Income", Shift_Late_Income_Status="Active", DAY(Tracking[[#This Row],[Date]])&gt;=Shift_Late_Income_Starting_Day),
DATE(YEAR(Tracking[[#This Row],[Date]]), MONTH(Tracking[[#This Row],[Date]])+1, 1),
Tracking[[#This Row],[Date]])</f>
        <v>46033</v>
      </c>
    </row>
    <row r="111" spans="3:15" x14ac:dyDescent="0.25">
      <c r="C111" s="38">
        <v>46033</v>
      </c>
      <c r="D111" s="38" t="s">
        <v>16</v>
      </c>
      <c r="E111" s="37" t="s">
        <v>27</v>
      </c>
      <c r="F111" s="37" t="s">
        <v>42</v>
      </c>
      <c r="G111" s="37" t="s">
        <v>348</v>
      </c>
      <c r="H111" s="84">
        <v>60</v>
      </c>
      <c r="I111" s="85"/>
      <c r="J111" s="86"/>
      <c r="K111" s="47" t="s">
        <v>349</v>
      </c>
      <c r="L111" s="40" cm="1">
        <f t="array" ref="L111">SUMPRODUCT(Tracking[Amount $],--(Tracking[Date]&lt;=Tracking[[#This Row],[Date]]),(Tracking[Type]&lt;&gt;"Income") * (-1) + (Tracking[Type]="Income"), --(Tracking[Payment Type] = "Cash"))</f>
        <v>892</v>
      </c>
      <c r="M111" s="40" cm="1">
        <f t="array" ref="M111">SUMPRODUCT(Tracking[Amount LBP],--(Tracking[Date]&lt;=Tracking[[#This Row],[Date]]),(Tracking[Type]&lt;&gt;"Income") * (-1) + (Tracking[Type]="Income"), --(Tracking[Payment Type] = "Cash"))</f>
        <v>25000</v>
      </c>
      <c r="N111" s="40" cm="1">
        <f t="array" ref="N111">SUMPRODUCT(Tracking[Amount €],--(Tracking[Date]&lt;=Tracking[[#This Row],[Date]]),(Tracking[Type]&lt;&gt;"Income") * (-1) + (Tracking[Type]="Income"), --(Tracking[Payment Type] = "Cash"))</f>
        <v>6204.07</v>
      </c>
      <c r="O111" s="43" cm="1">
        <f t="array" ref="O111">IF(AND(Tracking[[#This Row],[Type]]="Income", Shift_Late_Income_Status="Active", DAY(Tracking[[#This Row],[Date]])&gt;=Shift_Late_Income_Starting_Day),
DATE(YEAR(Tracking[[#This Row],[Date]]), MONTH(Tracking[[#This Row],[Date]])+1, 1),
Tracking[[#This Row],[Date]])</f>
        <v>46033</v>
      </c>
    </row>
    <row r="112" spans="3:15" x14ac:dyDescent="0.25">
      <c r="C112" s="38">
        <v>46033</v>
      </c>
      <c r="D112" s="38" t="s">
        <v>16</v>
      </c>
      <c r="E112" s="37" t="s">
        <v>27</v>
      </c>
      <c r="F112" s="37" t="s">
        <v>29</v>
      </c>
      <c r="G112" s="37" t="s">
        <v>199</v>
      </c>
      <c r="H112" s="84"/>
      <c r="I112" s="85">
        <v>110000</v>
      </c>
      <c r="J112" s="86"/>
      <c r="K112" s="47"/>
      <c r="L112" s="40" cm="1">
        <f t="array" ref="L112">SUMPRODUCT(Tracking[Amount $],--(Tracking[Date]&lt;=Tracking[[#This Row],[Date]]),(Tracking[Type]&lt;&gt;"Income") * (-1) + (Tracking[Type]="Income"), --(Tracking[Payment Type] = "Cash"))</f>
        <v>892</v>
      </c>
      <c r="M112" s="40" cm="1">
        <f t="array" ref="M112">SUMPRODUCT(Tracking[Amount LBP],--(Tracking[Date]&lt;=Tracking[[#This Row],[Date]]),(Tracking[Type]&lt;&gt;"Income") * (-1) + (Tracking[Type]="Income"), --(Tracking[Payment Type] = "Cash"))</f>
        <v>25000</v>
      </c>
      <c r="N112" s="40" cm="1">
        <f t="array" ref="N112">SUMPRODUCT(Tracking[Amount €],--(Tracking[Date]&lt;=Tracking[[#This Row],[Date]]),(Tracking[Type]&lt;&gt;"Income") * (-1) + (Tracking[Type]="Income"), --(Tracking[Payment Type] = "Cash"))</f>
        <v>6204.07</v>
      </c>
      <c r="O112" s="43" cm="1">
        <f t="array" ref="O112">IF(AND(Tracking[[#This Row],[Type]]="Income", Shift_Late_Income_Status="Active", DAY(Tracking[[#This Row],[Date]])&gt;=Shift_Late_Income_Starting_Day),
DATE(YEAR(Tracking[[#This Row],[Date]]), MONTH(Tracking[[#This Row],[Date]])+1, 1),
Tracking[[#This Row],[Date]])</f>
        <v>46033</v>
      </c>
    </row>
    <row r="113" spans="3:15" x14ac:dyDescent="0.25">
      <c r="C113" s="38">
        <v>46033</v>
      </c>
      <c r="D113" s="38" t="s">
        <v>16</v>
      </c>
      <c r="E113" s="37" t="s">
        <v>27</v>
      </c>
      <c r="F113" s="37" t="s">
        <v>42</v>
      </c>
      <c r="G113" s="37" t="s">
        <v>109</v>
      </c>
      <c r="H113" s="84"/>
      <c r="I113" s="85">
        <v>290000</v>
      </c>
      <c r="J113" s="86"/>
      <c r="K113" s="47"/>
      <c r="L113" s="40" cm="1">
        <f t="array" ref="L113">SUMPRODUCT(Tracking[Amount $],--(Tracking[Date]&lt;=Tracking[[#This Row],[Date]]),(Tracking[Type]&lt;&gt;"Income") * (-1) + (Tracking[Type]="Income"), --(Tracking[Payment Type] = "Cash"))</f>
        <v>892</v>
      </c>
      <c r="M113" s="40" cm="1">
        <f t="array" ref="M113">SUMPRODUCT(Tracking[Amount LBP],--(Tracking[Date]&lt;=Tracking[[#This Row],[Date]]),(Tracking[Type]&lt;&gt;"Income") * (-1) + (Tracking[Type]="Income"), --(Tracking[Payment Type] = "Cash"))</f>
        <v>25000</v>
      </c>
      <c r="N113" s="40" cm="1">
        <f t="array" ref="N113">SUMPRODUCT(Tracking[Amount €],--(Tracking[Date]&lt;=Tracking[[#This Row],[Date]]),(Tracking[Type]&lt;&gt;"Income") * (-1) + (Tracking[Type]="Income"), --(Tracking[Payment Type] = "Cash"))</f>
        <v>6204.07</v>
      </c>
      <c r="O113" s="43" cm="1">
        <f t="array" ref="O113">IF(AND(Tracking[[#This Row],[Type]]="Income", Shift_Late_Income_Status="Active", DAY(Tracking[[#This Row],[Date]])&gt;=Shift_Late_Income_Starting_Day),
DATE(YEAR(Tracking[[#This Row],[Date]]), MONTH(Tracking[[#This Row],[Date]])+1, 1),
Tracking[[#This Row],[Date]])</f>
        <v>46033</v>
      </c>
    </row>
    <row r="114" spans="3:15" x14ac:dyDescent="0.25">
      <c r="C114" s="38">
        <v>46033</v>
      </c>
      <c r="D114" s="38" t="s">
        <v>16</v>
      </c>
      <c r="E114" s="37" t="s">
        <v>27</v>
      </c>
      <c r="F114" s="37" t="s">
        <v>42</v>
      </c>
      <c r="G114" s="37" t="s">
        <v>222</v>
      </c>
      <c r="H114" s="84">
        <v>70</v>
      </c>
      <c r="I114" s="85"/>
      <c r="J114" s="86"/>
      <c r="K114" s="47"/>
      <c r="L114" s="40" cm="1">
        <f t="array" ref="L114">SUMPRODUCT(Tracking[Amount $],--(Tracking[Date]&lt;=Tracking[[#This Row],[Date]]),(Tracking[Type]&lt;&gt;"Income") * (-1) + (Tracking[Type]="Income"), --(Tracking[Payment Type] = "Cash"))</f>
        <v>892</v>
      </c>
      <c r="M114" s="40" cm="1">
        <f t="array" ref="M114">SUMPRODUCT(Tracking[Amount LBP],--(Tracking[Date]&lt;=Tracking[[#This Row],[Date]]),(Tracking[Type]&lt;&gt;"Income") * (-1) + (Tracking[Type]="Income"), --(Tracking[Payment Type] = "Cash"))</f>
        <v>25000</v>
      </c>
      <c r="N114" s="40" cm="1">
        <f t="array" ref="N114">SUMPRODUCT(Tracking[Amount €],--(Tracking[Date]&lt;=Tracking[[#This Row],[Date]]),(Tracking[Type]&lt;&gt;"Income") * (-1) + (Tracking[Type]="Income"), --(Tracking[Payment Type] = "Cash"))</f>
        <v>6204.07</v>
      </c>
      <c r="O114" s="43" cm="1">
        <f t="array" ref="O114">IF(AND(Tracking[[#This Row],[Type]]="Income", Shift_Late_Income_Status="Active", DAY(Tracking[[#This Row],[Date]])&gt;=Shift_Late_Income_Starting_Day),
DATE(YEAR(Tracking[[#This Row],[Date]]), MONTH(Tracking[[#This Row],[Date]])+1, 1),
Tracking[[#This Row],[Date]])</f>
        <v>46033</v>
      </c>
    </row>
    <row r="115" spans="3:15" x14ac:dyDescent="0.25">
      <c r="C115" s="38">
        <v>46033</v>
      </c>
      <c r="D115" s="38" t="s">
        <v>16</v>
      </c>
      <c r="E115" s="37" t="s">
        <v>27</v>
      </c>
      <c r="F115" s="37" t="s">
        <v>41</v>
      </c>
      <c r="G115" s="37" t="s">
        <v>346</v>
      </c>
      <c r="H115" s="84">
        <v>30</v>
      </c>
      <c r="I115" s="85"/>
      <c r="J115" s="86"/>
      <c r="K115" s="47" t="s">
        <v>350</v>
      </c>
      <c r="L115" s="40" cm="1">
        <f t="array" ref="L115">SUMPRODUCT(Tracking[Amount $],--(Tracking[Date]&lt;=Tracking[[#This Row],[Date]]),(Tracking[Type]&lt;&gt;"Income") * (-1) + (Tracking[Type]="Income"), --(Tracking[Payment Type] = "Cash"))</f>
        <v>892</v>
      </c>
      <c r="M115" s="40" cm="1">
        <f t="array" ref="M115">SUMPRODUCT(Tracking[Amount LBP],--(Tracking[Date]&lt;=Tracking[[#This Row],[Date]]),(Tracking[Type]&lt;&gt;"Income") * (-1) + (Tracking[Type]="Income"), --(Tracking[Payment Type] = "Cash"))</f>
        <v>25000</v>
      </c>
      <c r="N115" s="40" cm="1">
        <f t="array" ref="N115">SUMPRODUCT(Tracking[Amount €],--(Tracking[Date]&lt;=Tracking[[#This Row],[Date]]),(Tracking[Type]&lt;&gt;"Income") * (-1) + (Tracking[Type]="Income"), --(Tracking[Payment Type] = "Cash"))</f>
        <v>6204.07</v>
      </c>
      <c r="O115" s="43" cm="1">
        <f t="array" ref="O115">IF(AND(Tracking[[#This Row],[Type]]="Income", Shift_Late_Income_Status="Active", DAY(Tracking[[#This Row],[Date]])&gt;=Shift_Late_Income_Starting_Day),
DATE(YEAR(Tracking[[#This Row],[Date]]), MONTH(Tracking[[#This Row],[Date]])+1, 1),
Tracking[[#This Row],[Date]])</f>
        <v>46033</v>
      </c>
    </row>
    <row r="116" spans="3:15" x14ac:dyDescent="0.25">
      <c r="C116" s="38">
        <v>46033</v>
      </c>
      <c r="D116" s="38" t="s">
        <v>16</v>
      </c>
      <c r="E116" s="37" t="s">
        <v>27</v>
      </c>
      <c r="F116" s="37" t="s">
        <v>33</v>
      </c>
      <c r="G116" s="37" t="s">
        <v>71</v>
      </c>
      <c r="H116" s="84">
        <v>20</v>
      </c>
      <c r="I116" s="85"/>
      <c r="J116" s="86"/>
      <c r="K116" s="47"/>
      <c r="L116" s="40" cm="1">
        <f t="array" ref="L116">SUMPRODUCT(Tracking[Amount $],--(Tracking[Date]&lt;=Tracking[[#This Row],[Date]]),(Tracking[Type]&lt;&gt;"Income") * (-1) + (Tracking[Type]="Income"), --(Tracking[Payment Type] = "Cash"))</f>
        <v>892</v>
      </c>
      <c r="M116" s="40" cm="1">
        <f t="array" ref="M116">SUMPRODUCT(Tracking[Amount LBP],--(Tracking[Date]&lt;=Tracking[[#This Row],[Date]]),(Tracking[Type]&lt;&gt;"Income") * (-1) + (Tracking[Type]="Income"), --(Tracking[Payment Type] = "Cash"))</f>
        <v>25000</v>
      </c>
      <c r="N116" s="40" cm="1">
        <f t="array" ref="N116">SUMPRODUCT(Tracking[Amount €],--(Tracking[Date]&lt;=Tracking[[#This Row],[Date]]),(Tracking[Type]&lt;&gt;"Income") * (-1) + (Tracking[Type]="Income"), --(Tracking[Payment Type] = "Cash"))</f>
        <v>6204.07</v>
      </c>
      <c r="O116" s="43" cm="1">
        <f t="array" ref="O116">IF(AND(Tracking[[#This Row],[Type]]="Income", Shift_Late_Income_Status="Active", DAY(Tracking[[#This Row],[Date]])&gt;=Shift_Late_Income_Starting_Day),
DATE(YEAR(Tracking[[#This Row],[Date]]), MONTH(Tracking[[#This Row],[Date]])+1, 1),
Tracking[[#This Row],[Date]])</f>
        <v>46033</v>
      </c>
    </row>
    <row r="117" spans="3:15" x14ac:dyDescent="0.25">
      <c r="C117" s="38">
        <v>46033</v>
      </c>
      <c r="D117" s="38" t="s">
        <v>16</v>
      </c>
      <c r="E117" s="37" t="s">
        <v>27</v>
      </c>
      <c r="F117" s="37" t="s">
        <v>30</v>
      </c>
      <c r="G117" s="37" t="s">
        <v>351</v>
      </c>
      <c r="H117" s="84">
        <v>100</v>
      </c>
      <c r="I117" s="85"/>
      <c r="J117" s="86"/>
      <c r="K117" s="47"/>
      <c r="L117" s="40" cm="1">
        <f t="array" ref="L117">SUMPRODUCT(Tracking[Amount $],--(Tracking[Date]&lt;=Tracking[[#This Row],[Date]]),(Tracking[Type]&lt;&gt;"Income") * (-1) + (Tracking[Type]="Income"), --(Tracking[Payment Type] = "Cash"))</f>
        <v>892</v>
      </c>
      <c r="M117" s="40" cm="1">
        <f t="array" ref="M117">SUMPRODUCT(Tracking[Amount LBP],--(Tracking[Date]&lt;=Tracking[[#This Row],[Date]]),(Tracking[Type]&lt;&gt;"Income") * (-1) + (Tracking[Type]="Income"), --(Tracking[Payment Type] = "Cash"))</f>
        <v>25000</v>
      </c>
      <c r="N117" s="40" cm="1">
        <f t="array" ref="N117">SUMPRODUCT(Tracking[Amount €],--(Tracking[Date]&lt;=Tracking[[#This Row],[Date]]),(Tracking[Type]&lt;&gt;"Income") * (-1) + (Tracking[Type]="Income"), --(Tracking[Payment Type] = "Cash"))</f>
        <v>6204.07</v>
      </c>
      <c r="O117" s="43" cm="1">
        <f t="array" ref="O117">IF(AND(Tracking[[#This Row],[Type]]="Income", Shift_Late_Income_Status="Active", DAY(Tracking[[#This Row],[Date]])&gt;=Shift_Late_Income_Starting_Day),
DATE(YEAR(Tracking[[#This Row],[Date]]), MONTH(Tracking[[#This Row],[Date]])+1, 1),
Tracking[[#This Row],[Date]])</f>
        <v>46033</v>
      </c>
    </row>
    <row r="118" spans="3:15" x14ac:dyDescent="0.25">
      <c r="C118" s="38">
        <v>46033</v>
      </c>
      <c r="D118" s="38" t="s">
        <v>16</v>
      </c>
      <c r="E118" s="37" t="s">
        <v>27</v>
      </c>
      <c r="F118" s="37" t="s">
        <v>43</v>
      </c>
      <c r="G118" s="37" t="s">
        <v>352</v>
      </c>
      <c r="H118" s="84"/>
      <c r="I118" s="85">
        <v>250000</v>
      </c>
      <c r="J118" s="86"/>
      <c r="K118" s="47"/>
      <c r="L118" s="40" cm="1">
        <f t="array" ref="L118">SUMPRODUCT(Tracking[Amount $],--(Tracking[Date]&lt;=Tracking[[#This Row],[Date]]),(Tracking[Type]&lt;&gt;"Income") * (-1) + (Tracking[Type]="Income"), --(Tracking[Payment Type] = "Cash"))</f>
        <v>892</v>
      </c>
      <c r="M118" s="40" cm="1">
        <f t="array" ref="M118">SUMPRODUCT(Tracking[Amount LBP],--(Tracking[Date]&lt;=Tracking[[#This Row],[Date]]),(Tracking[Type]&lt;&gt;"Income") * (-1) + (Tracking[Type]="Income"), --(Tracking[Payment Type] = "Cash"))</f>
        <v>25000</v>
      </c>
      <c r="N118" s="40" cm="1">
        <f t="array" ref="N118">SUMPRODUCT(Tracking[Amount €],--(Tracking[Date]&lt;=Tracking[[#This Row],[Date]]),(Tracking[Type]&lt;&gt;"Income") * (-1) + (Tracking[Type]="Income"), --(Tracking[Payment Type] = "Cash"))</f>
        <v>6204.07</v>
      </c>
      <c r="O118" s="43" cm="1">
        <f t="array" ref="O118">IF(AND(Tracking[[#This Row],[Type]]="Income", Shift_Late_Income_Status="Active", DAY(Tracking[[#This Row],[Date]])&gt;=Shift_Late_Income_Starting_Day),
DATE(YEAR(Tracking[[#This Row],[Date]]), MONTH(Tracking[[#This Row],[Date]])+1, 1),
Tracking[[#This Row],[Date]])</f>
        <v>46033</v>
      </c>
    </row>
    <row r="119" spans="3:15" x14ac:dyDescent="0.25">
      <c r="C119" s="38">
        <v>46033</v>
      </c>
      <c r="D119" s="38" t="s">
        <v>16</v>
      </c>
      <c r="E119" s="37" t="s">
        <v>27</v>
      </c>
      <c r="F119" s="37" t="s">
        <v>28</v>
      </c>
      <c r="G119" s="37" t="s">
        <v>231</v>
      </c>
      <c r="H119" s="84"/>
      <c r="I119" s="85">
        <v>270000</v>
      </c>
      <c r="J119" s="86"/>
      <c r="K119" s="47"/>
      <c r="L119" s="40" cm="1">
        <f t="array" ref="L119">SUMPRODUCT(Tracking[Amount $],--(Tracking[Date]&lt;=Tracking[[#This Row],[Date]]),(Tracking[Type]&lt;&gt;"Income") * (-1) + (Tracking[Type]="Income"), --(Tracking[Payment Type] = "Cash"))</f>
        <v>892</v>
      </c>
      <c r="M119" s="40" cm="1">
        <f t="array" ref="M119">SUMPRODUCT(Tracking[Amount LBP],--(Tracking[Date]&lt;=Tracking[[#This Row],[Date]]),(Tracking[Type]&lt;&gt;"Income") * (-1) + (Tracking[Type]="Income"), --(Tracking[Payment Type] = "Cash"))</f>
        <v>25000</v>
      </c>
      <c r="N119" s="40" cm="1">
        <f t="array" ref="N119">SUMPRODUCT(Tracking[Amount €],--(Tracking[Date]&lt;=Tracking[[#This Row],[Date]]),(Tracking[Type]&lt;&gt;"Income") * (-1) + (Tracking[Type]="Income"), --(Tracking[Payment Type] = "Cash"))</f>
        <v>6204.07</v>
      </c>
      <c r="O119" s="43" cm="1">
        <f t="array" ref="O119">IF(AND(Tracking[[#This Row],[Type]]="Income", Shift_Late_Income_Status="Active", DAY(Tracking[[#This Row],[Date]])&gt;=Shift_Late_Income_Starting_Day),
DATE(YEAR(Tracking[[#This Row],[Date]]), MONTH(Tracking[[#This Row],[Date]])+1, 1),
Tracking[[#This Row],[Date]])</f>
        <v>46033</v>
      </c>
    </row>
    <row r="120" spans="3:15" x14ac:dyDescent="0.25">
      <c r="C120" s="38">
        <v>46033</v>
      </c>
      <c r="D120" s="38" t="s">
        <v>82</v>
      </c>
      <c r="E120" s="37" t="s">
        <v>27</v>
      </c>
      <c r="F120" s="37" t="s">
        <v>42</v>
      </c>
      <c r="G120" s="37" t="s">
        <v>230</v>
      </c>
      <c r="H120" s="84">
        <v>29</v>
      </c>
      <c r="I120" s="85"/>
      <c r="J120" s="86"/>
      <c r="K120" s="47"/>
      <c r="L120" s="40" cm="1">
        <f t="array" ref="L120">SUMPRODUCT(Tracking[Amount $],--(Tracking[Date]&lt;=Tracking[[#This Row],[Date]]),(Tracking[Type]&lt;&gt;"Income") * (-1) + (Tracking[Type]="Income"), --(Tracking[Payment Type] = "Cash"))</f>
        <v>892</v>
      </c>
      <c r="M120" s="40" cm="1">
        <f t="array" ref="M120">SUMPRODUCT(Tracking[Amount LBP],--(Tracking[Date]&lt;=Tracking[[#This Row],[Date]]),(Tracking[Type]&lt;&gt;"Income") * (-1) + (Tracking[Type]="Income"), --(Tracking[Payment Type] = "Cash"))</f>
        <v>25000</v>
      </c>
      <c r="N120" s="40" cm="1">
        <f t="array" ref="N120">SUMPRODUCT(Tracking[Amount €],--(Tracking[Date]&lt;=Tracking[[#This Row],[Date]]),(Tracking[Type]&lt;&gt;"Income") * (-1) + (Tracking[Type]="Income"), --(Tracking[Payment Type] = "Cash"))</f>
        <v>6204.07</v>
      </c>
      <c r="O120" s="43" cm="1">
        <f t="array" ref="O120">IF(AND(Tracking[[#This Row],[Type]]="Income", Shift_Late_Income_Status="Active", DAY(Tracking[[#This Row],[Date]])&gt;=Shift_Late_Income_Starting_Day),
DATE(YEAR(Tracking[[#This Row],[Date]]), MONTH(Tracking[[#This Row],[Date]])+1, 1),
Tracking[[#This Row],[Date]])</f>
        <v>46033</v>
      </c>
    </row>
    <row r="121" spans="3:15" x14ac:dyDescent="0.25">
      <c r="C121" s="38">
        <v>46033</v>
      </c>
      <c r="D121" s="38" t="s">
        <v>82</v>
      </c>
      <c r="E121" s="37" t="s">
        <v>27</v>
      </c>
      <c r="F121" s="37" t="s">
        <v>28</v>
      </c>
      <c r="G121" s="37" t="s">
        <v>251</v>
      </c>
      <c r="H121" s="84">
        <v>15</v>
      </c>
      <c r="I121" s="85"/>
      <c r="J121" s="86"/>
      <c r="K121" s="47"/>
      <c r="L121" s="40" cm="1">
        <f t="array" ref="L121">SUMPRODUCT(Tracking[Amount $],--(Tracking[Date]&lt;=Tracking[[#This Row],[Date]]),(Tracking[Type]&lt;&gt;"Income") * (-1) + (Tracking[Type]="Income"), --(Tracking[Payment Type] = "Cash"))</f>
        <v>892</v>
      </c>
      <c r="M121" s="40" cm="1">
        <f t="array" ref="M121">SUMPRODUCT(Tracking[Amount LBP],--(Tracking[Date]&lt;=Tracking[[#This Row],[Date]]),(Tracking[Type]&lt;&gt;"Income") * (-1) + (Tracking[Type]="Income"), --(Tracking[Payment Type] = "Cash"))</f>
        <v>25000</v>
      </c>
      <c r="N121" s="40" cm="1">
        <f t="array" ref="N121">SUMPRODUCT(Tracking[Amount €],--(Tracking[Date]&lt;=Tracking[[#This Row],[Date]]),(Tracking[Type]&lt;&gt;"Income") * (-1) + (Tracking[Type]="Income"), --(Tracking[Payment Type] = "Cash"))</f>
        <v>6204.07</v>
      </c>
      <c r="O121" s="43" cm="1">
        <f t="array" ref="O121">IF(AND(Tracking[[#This Row],[Type]]="Income", Shift_Late_Income_Status="Active", DAY(Tracking[[#This Row],[Date]])&gt;=Shift_Late_Income_Starting_Day),
DATE(YEAR(Tracking[[#This Row],[Date]]), MONTH(Tracking[[#This Row],[Date]])+1, 1),
Tracking[[#This Row],[Date]])</f>
        <v>46033</v>
      </c>
    </row>
    <row r="122" spans="3:15" x14ac:dyDescent="0.25">
      <c r="C122" s="38">
        <v>46033</v>
      </c>
      <c r="D122" s="38" t="s">
        <v>82</v>
      </c>
      <c r="E122" s="37" t="s">
        <v>27</v>
      </c>
      <c r="F122" s="37" t="s">
        <v>28</v>
      </c>
      <c r="G122" s="37" t="s">
        <v>231</v>
      </c>
      <c r="H122" s="84">
        <v>10</v>
      </c>
      <c r="I122" s="85"/>
      <c r="J122" s="86"/>
      <c r="K122" s="47"/>
      <c r="L122" s="40" cm="1">
        <f t="array" ref="L122">SUMPRODUCT(Tracking[Amount $],--(Tracking[Date]&lt;=Tracking[[#This Row],[Date]]),(Tracking[Type]&lt;&gt;"Income") * (-1) + (Tracking[Type]="Income"), --(Tracking[Payment Type] = "Cash"))</f>
        <v>892</v>
      </c>
      <c r="M122" s="40" cm="1">
        <f t="array" ref="M122">SUMPRODUCT(Tracking[Amount LBP],--(Tracking[Date]&lt;=Tracking[[#This Row],[Date]]),(Tracking[Type]&lt;&gt;"Income") * (-1) + (Tracking[Type]="Income"), --(Tracking[Payment Type] = "Cash"))</f>
        <v>25000</v>
      </c>
      <c r="N122" s="40" cm="1">
        <f t="array" ref="N122">SUMPRODUCT(Tracking[Amount €],--(Tracking[Date]&lt;=Tracking[[#This Row],[Date]]),(Tracking[Type]&lt;&gt;"Income") * (-1) + (Tracking[Type]="Income"), --(Tracking[Payment Type] = "Cash"))</f>
        <v>6204.07</v>
      </c>
      <c r="O122" s="43" cm="1">
        <f t="array" ref="O122">IF(AND(Tracking[[#This Row],[Type]]="Income", Shift_Late_Income_Status="Active", DAY(Tracking[[#This Row],[Date]])&gt;=Shift_Late_Income_Starting_Day),
DATE(YEAR(Tracking[[#This Row],[Date]]), MONTH(Tracking[[#This Row],[Date]])+1, 1),
Tracking[[#This Row],[Date]])</f>
        <v>46033</v>
      </c>
    </row>
    <row r="123" spans="3:15" x14ac:dyDescent="0.25">
      <c r="C123" s="38">
        <v>46033</v>
      </c>
      <c r="D123" s="38" t="s">
        <v>82</v>
      </c>
      <c r="E123" s="37" t="s">
        <v>27</v>
      </c>
      <c r="F123" s="37" t="s">
        <v>28</v>
      </c>
      <c r="G123" s="37" t="s">
        <v>68</v>
      </c>
      <c r="H123" s="84">
        <v>2.5</v>
      </c>
      <c r="I123" s="85"/>
      <c r="J123" s="86"/>
      <c r="K123" s="47"/>
      <c r="L123" s="40" cm="1">
        <f t="array" ref="L123">SUMPRODUCT(Tracking[Amount $],--(Tracking[Date]&lt;=Tracking[[#This Row],[Date]]),(Tracking[Type]&lt;&gt;"Income") * (-1) + (Tracking[Type]="Income"), --(Tracking[Payment Type] = "Cash"))</f>
        <v>892</v>
      </c>
      <c r="M123" s="40" cm="1">
        <f t="array" ref="M123">SUMPRODUCT(Tracking[Amount LBP],--(Tracking[Date]&lt;=Tracking[[#This Row],[Date]]),(Tracking[Type]&lt;&gt;"Income") * (-1) + (Tracking[Type]="Income"), --(Tracking[Payment Type] = "Cash"))</f>
        <v>25000</v>
      </c>
      <c r="N123" s="40" cm="1">
        <f t="array" ref="N123">SUMPRODUCT(Tracking[Amount €],--(Tracking[Date]&lt;=Tracking[[#This Row],[Date]]),(Tracking[Type]&lt;&gt;"Income") * (-1) + (Tracking[Type]="Income"), --(Tracking[Payment Type] = "Cash"))</f>
        <v>6204.07</v>
      </c>
      <c r="O123" s="43" cm="1">
        <f t="array" ref="O123">IF(AND(Tracking[[#This Row],[Type]]="Income", Shift_Late_Income_Status="Active", DAY(Tracking[[#This Row],[Date]])&gt;=Shift_Late_Income_Starting_Day),
DATE(YEAR(Tracking[[#This Row],[Date]]), MONTH(Tracking[[#This Row],[Date]])+1, 1),
Tracking[[#This Row],[Date]])</f>
        <v>46033</v>
      </c>
    </row>
    <row r="124" spans="3:15" x14ac:dyDescent="0.25">
      <c r="C124" s="38">
        <v>46033</v>
      </c>
      <c r="D124" s="38" t="s">
        <v>82</v>
      </c>
      <c r="E124" s="37" t="s">
        <v>27</v>
      </c>
      <c r="F124" s="37" t="s">
        <v>28</v>
      </c>
      <c r="G124" s="37" t="s">
        <v>84</v>
      </c>
      <c r="H124" s="84">
        <v>9</v>
      </c>
      <c r="I124" s="85"/>
      <c r="J124" s="86"/>
      <c r="K124" s="47"/>
      <c r="L124" s="40" cm="1">
        <f t="array" ref="L124">SUMPRODUCT(Tracking[Amount $],--(Tracking[Date]&lt;=Tracking[[#This Row],[Date]]),(Tracking[Type]&lt;&gt;"Income") * (-1) + (Tracking[Type]="Income"), --(Tracking[Payment Type] = "Cash"))</f>
        <v>892</v>
      </c>
      <c r="M124" s="40" cm="1">
        <f t="array" ref="M124">SUMPRODUCT(Tracking[Amount LBP],--(Tracking[Date]&lt;=Tracking[[#This Row],[Date]]),(Tracking[Type]&lt;&gt;"Income") * (-1) + (Tracking[Type]="Income"), --(Tracking[Payment Type] = "Cash"))</f>
        <v>25000</v>
      </c>
      <c r="N124" s="40" cm="1">
        <f t="array" ref="N124">SUMPRODUCT(Tracking[Amount €],--(Tracking[Date]&lt;=Tracking[[#This Row],[Date]]),(Tracking[Type]&lt;&gt;"Income") * (-1) + (Tracking[Type]="Income"), --(Tracking[Payment Type] = "Cash"))</f>
        <v>6204.07</v>
      </c>
      <c r="O124" s="43" cm="1">
        <f t="array" ref="O124">IF(AND(Tracking[[#This Row],[Type]]="Income", Shift_Late_Income_Status="Active", DAY(Tracking[[#This Row],[Date]])&gt;=Shift_Late_Income_Starting_Day),
DATE(YEAR(Tracking[[#This Row],[Date]]), MONTH(Tracking[[#This Row],[Date]])+1, 1),
Tracking[[#This Row],[Date]])</f>
        <v>46033</v>
      </c>
    </row>
    <row r="125" spans="3:15" x14ac:dyDescent="0.25">
      <c r="C125" s="38">
        <v>46033</v>
      </c>
      <c r="D125" s="38" t="s">
        <v>82</v>
      </c>
      <c r="E125" s="37" t="s">
        <v>27</v>
      </c>
      <c r="F125" s="37" t="s">
        <v>28</v>
      </c>
      <c r="G125" s="37" t="s">
        <v>83</v>
      </c>
      <c r="H125" s="84">
        <v>18</v>
      </c>
      <c r="I125" s="85"/>
      <c r="J125" s="86"/>
      <c r="K125" s="47"/>
      <c r="L125" s="40" cm="1">
        <f t="array" ref="L125">SUMPRODUCT(Tracking[Amount $],--(Tracking[Date]&lt;=Tracking[[#This Row],[Date]]),(Tracking[Type]&lt;&gt;"Income") * (-1) + (Tracking[Type]="Income"), --(Tracking[Payment Type] = "Cash"))</f>
        <v>892</v>
      </c>
      <c r="M125" s="40" cm="1">
        <f t="array" ref="M125">SUMPRODUCT(Tracking[Amount LBP],--(Tracking[Date]&lt;=Tracking[[#This Row],[Date]]),(Tracking[Type]&lt;&gt;"Income") * (-1) + (Tracking[Type]="Income"), --(Tracking[Payment Type] = "Cash"))</f>
        <v>25000</v>
      </c>
      <c r="N125" s="40" cm="1">
        <f t="array" ref="N125">SUMPRODUCT(Tracking[Amount €],--(Tracking[Date]&lt;=Tracking[[#This Row],[Date]]),(Tracking[Type]&lt;&gt;"Income") * (-1) + (Tracking[Type]="Income"), --(Tracking[Payment Type] = "Cash"))</f>
        <v>6204.07</v>
      </c>
      <c r="O125" s="43" cm="1">
        <f t="array" ref="O125">IF(AND(Tracking[[#This Row],[Type]]="Income", Shift_Late_Income_Status="Active", DAY(Tracking[[#This Row],[Date]])&gt;=Shift_Late_Income_Starting_Day),
DATE(YEAR(Tracking[[#This Row],[Date]]), MONTH(Tracking[[#This Row],[Date]])+1, 1),
Tracking[[#This Row],[Date]])</f>
        <v>46033</v>
      </c>
    </row>
    <row r="126" spans="3:15" x14ac:dyDescent="0.25">
      <c r="C126" s="38">
        <v>46033</v>
      </c>
      <c r="D126" s="38" t="s">
        <v>82</v>
      </c>
      <c r="E126" s="37" t="s">
        <v>27</v>
      </c>
      <c r="F126" s="37" t="s">
        <v>30</v>
      </c>
      <c r="G126" s="37" t="s">
        <v>351</v>
      </c>
      <c r="H126" s="84">
        <v>-50</v>
      </c>
      <c r="I126" s="85"/>
      <c r="J126" s="86"/>
      <c r="K126" s="47"/>
      <c r="L126" s="40" cm="1">
        <f t="array" ref="L126">SUMPRODUCT(Tracking[Amount $],--(Tracking[Date]&lt;=Tracking[[#This Row],[Date]]),(Tracking[Type]&lt;&gt;"Income") * (-1) + (Tracking[Type]="Income"), --(Tracking[Payment Type] = "Cash"))</f>
        <v>892</v>
      </c>
      <c r="M126" s="40" cm="1">
        <f t="array" ref="M126">SUMPRODUCT(Tracking[Amount LBP],--(Tracking[Date]&lt;=Tracking[[#This Row],[Date]]),(Tracking[Type]&lt;&gt;"Income") * (-1) + (Tracking[Type]="Income"), --(Tracking[Payment Type] = "Cash"))</f>
        <v>25000</v>
      </c>
      <c r="N126" s="40" cm="1">
        <f t="array" ref="N126">SUMPRODUCT(Tracking[Amount €],--(Tracking[Date]&lt;=Tracking[[#This Row],[Date]]),(Tracking[Type]&lt;&gt;"Income") * (-1) + (Tracking[Type]="Income"), --(Tracking[Payment Type] = "Cash"))</f>
        <v>6204.07</v>
      </c>
      <c r="O126" s="43" cm="1">
        <f t="array" ref="O126">IF(AND(Tracking[[#This Row],[Type]]="Income", Shift_Late_Income_Status="Active", DAY(Tracking[[#This Row],[Date]])&gt;=Shift_Late_Income_Starting_Day),
DATE(YEAR(Tracking[[#This Row],[Date]]), MONTH(Tracking[[#This Row],[Date]])+1, 1),
Tracking[[#This Row],[Date]])</f>
        <v>46033</v>
      </c>
    </row>
    <row r="127" spans="3:15" x14ac:dyDescent="0.25">
      <c r="C127" s="38">
        <v>46033</v>
      </c>
      <c r="D127" s="38" t="s">
        <v>82</v>
      </c>
      <c r="E127" s="37" t="s">
        <v>27</v>
      </c>
      <c r="F127" s="37" t="s">
        <v>33</v>
      </c>
      <c r="G127" s="37" t="s">
        <v>71</v>
      </c>
      <c r="H127" s="84">
        <v>-20</v>
      </c>
      <c r="I127" s="85"/>
      <c r="J127" s="86"/>
      <c r="K127" s="47"/>
      <c r="L127" s="40" cm="1">
        <f t="array" ref="L127">SUMPRODUCT(Tracking[Amount $],--(Tracking[Date]&lt;=Tracking[[#This Row],[Date]]),(Tracking[Type]&lt;&gt;"Income") * (-1) + (Tracking[Type]="Income"), --(Tracking[Payment Type] = "Cash"))</f>
        <v>892</v>
      </c>
      <c r="M127" s="40" cm="1">
        <f t="array" ref="M127">SUMPRODUCT(Tracking[Amount LBP],--(Tracking[Date]&lt;=Tracking[[#This Row],[Date]]),(Tracking[Type]&lt;&gt;"Income") * (-1) + (Tracking[Type]="Income"), --(Tracking[Payment Type] = "Cash"))</f>
        <v>25000</v>
      </c>
      <c r="N127" s="40" cm="1">
        <f t="array" ref="N127">SUMPRODUCT(Tracking[Amount €],--(Tracking[Date]&lt;=Tracking[[#This Row],[Date]]),(Tracking[Type]&lt;&gt;"Income") * (-1) + (Tracking[Type]="Income"), --(Tracking[Payment Type] = "Cash"))</f>
        <v>6204.07</v>
      </c>
      <c r="O127" s="43" cm="1">
        <f t="array" ref="O127">IF(AND(Tracking[[#This Row],[Type]]="Income", Shift_Late_Income_Status="Active", DAY(Tracking[[#This Row],[Date]])&gt;=Shift_Late_Income_Starting_Day),
DATE(YEAR(Tracking[[#This Row],[Date]]), MONTH(Tracking[[#This Row],[Date]])+1, 1),
Tracking[[#This Row],[Date]])</f>
        <v>46033</v>
      </c>
    </row>
    <row r="128" spans="3:15" x14ac:dyDescent="0.25">
      <c r="C128" s="38">
        <v>46033</v>
      </c>
      <c r="D128" s="38" t="s">
        <v>16</v>
      </c>
      <c r="E128" s="37" t="s">
        <v>27</v>
      </c>
      <c r="F128" s="37" t="s">
        <v>29</v>
      </c>
      <c r="G128" s="37" t="s">
        <v>224</v>
      </c>
      <c r="H128" s="84">
        <v>18</v>
      </c>
      <c r="I128" s="85"/>
      <c r="J128" s="86"/>
      <c r="K128" s="47"/>
      <c r="L128" s="40" cm="1">
        <f t="array" ref="L128">SUMPRODUCT(Tracking[Amount $],--(Tracking[Date]&lt;=Tracking[[#This Row],[Date]]),(Tracking[Type]&lt;&gt;"Income") * (-1) + (Tracking[Type]="Income"), --(Tracking[Payment Type] = "Cash"))</f>
        <v>892</v>
      </c>
      <c r="M128" s="40" cm="1">
        <f t="array" ref="M128">SUMPRODUCT(Tracking[Amount LBP],--(Tracking[Date]&lt;=Tracking[[#This Row],[Date]]),(Tracking[Type]&lt;&gt;"Income") * (-1) + (Tracking[Type]="Income"), --(Tracking[Payment Type] = "Cash"))</f>
        <v>25000</v>
      </c>
      <c r="N128" s="40" cm="1">
        <f t="array" ref="N128">SUMPRODUCT(Tracking[Amount €],--(Tracking[Date]&lt;=Tracking[[#This Row],[Date]]),(Tracking[Type]&lt;&gt;"Income") * (-1) + (Tracking[Type]="Income"), --(Tracking[Payment Type] = "Cash"))</f>
        <v>6204.07</v>
      </c>
      <c r="O128" s="43" cm="1">
        <f t="array" ref="O128">IF(AND(Tracking[[#This Row],[Type]]="Income", Shift_Late_Income_Status="Active", DAY(Tracking[[#This Row],[Date]])&gt;=Shift_Late_Income_Starting_Day),
DATE(YEAR(Tracking[[#This Row],[Date]]), MONTH(Tracking[[#This Row],[Date]])+1, 1),
Tracking[[#This Row],[Date]])</f>
        <v>46033</v>
      </c>
    </row>
    <row r="129" spans="3:15" x14ac:dyDescent="0.25">
      <c r="C129" s="38">
        <v>46033</v>
      </c>
      <c r="D129" s="38" t="s">
        <v>82</v>
      </c>
      <c r="E129" s="37" t="s">
        <v>27</v>
      </c>
      <c r="F129" s="37" t="s">
        <v>29</v>
      </c>
      <c r="G129" s="37" t="s">
        <v>224</v>
      </c>
      <c r="H129" s="84">
        <v>-10</v>
      </c>
      <c r="I129" s="85"/>
      <c r="J129" s="86"/>
      <c r="K129" s="47"/>
      <c r="L129" s="40" cm="1">
        <f t="array" ref="L129">SUMPRODUCT(Tracking[Amount $],--(Tracking[Date]&lt;=Tracking[[#This Row],[Date]]),(Tracking[Type]&lt;&gt;"Income") * (-1) + (Tracking[Type]="Income"), --(Tracking[Payment Type] = "Cash"))</f>
        <v>892</v>
      </c>
      <c r="M129" s="40" cm="1">
        <f t="array" ref="M129">SUMPRODUCT(Tracking[Amount LBP],--(Tracking[Date]&lt;=Tracking[[#This Row],[Date]]),(Tracking[Type]&lt;&gt;"Income") * (-1) + (Tracking[Type]="Income"), --(Tracking[Payment Type] = "Cash"))</f>
        <v>25000</v>
      </c>
      <c r="N129" s="40" cm="1">
        <f t="array" ref="N129">SUMPRODUCT(Tracking[Amount €],--(Tracking[Date]&lt;=Tracking[[#This Row],[Date]]),(Tracking[Type]&lt;&gt;"Income") * (-1) + (Tracking[Type]="Income"), --(Tracking[Payment Type] = "Cash"))</f>
        <v>6204.07</v>
      </c>
      <c r="O129" s="43" cm="1">
        <f t="array" ref="O129">IF(AND(Tracking[[#This Row],[Type]]="Income", Shift_Late_Income_Status="Active", DAY(Tracking[[#This Row],[Date]])&gt;=Shift_Late_Income_Starting_Day),
DATE(YEAR(Tracking[[#This Row],[Date]]), MONTH(Tracking[[#This Row],[Date]])+1, 1),
Tracking[[#This Row],[Date]])</f>
        <v>46033</v>
      </c>
    </row>
    <row r="130" spans="3:15" x14ac:dyDescent="0.25">
      <c r="C130" s="38">
        <v>46033</v>
      </c>
      <c r="D130" s="38" t="s">
        <v>82</v>
      </c>
      <c r="E130" s="37" t="s">
        <v>27</v>
      </c>
      <c r="F130" s="37" t="s">
        <v>33</v>
      </c>
      <c r="G130" s="37" t="s">
        <v>71</v>
      </c>
      <c r="H130" s="84">
        <v>10</v>
      </c>
      <c r="I130" s="85"/>
      <c r="J130" s="86"/>
      <c r="K130" s="47"/>
      <c r="L130" s="40" cm="1">
        <f t="array" ref="L130">SUMPRODUCT(Tracking[Amount $],--(Tracking[Date]&lt;=Tracking[[#This Row],[Date]]),(Tracking[Type]&lt;&gt;"Income") * (-1) + (Tracking[Type]="Income"), --(Tracking[Payment Type] = "Cash"))</f>
        <v>892</v>
      </c>
      <c r="M130" s="40" cm="1">
        <f t="array" ref="M130">SUMPRODUCT(Tracking[Amount LBP],--(Tracking[Date]&lt;=Tracking[[#This Row],[Date]]),(Tracking[Type]&lt;&gt;"Income") * (-1) + (Tracking[Type]="Income"), --(Tracking[Payment Type] = "Cash"))</f>
        <v>25000</v>
      </c>
      <c r="N130" s="40" cm="1">
        <f t="array" ref="N130">SUMPRODUCT(Tracking[Amount €],--(Tracking[Date]&lt;=Tracking[[#This Row],[Date]]),(Tracking[Type]&lt;&gt;"Income") * (-1) + (Tracking[Type]="Income"), --(Tracking[Payment Type] = "Cash"))</f>
        <v>6204.07</v>
      </c>
      <c r="O130" s="43" cm="1">
        <f t="array" ref="O130">IF(AND(Tracking[[#This Row],[Type]]="Income", Shift_Late_Income_Status="Active", DAY(Tracking[[#This Row],[Date]])&gt;=Shift_Late_Income_Starting_Day),
DATE(YEAR(Tracking[[#This Row],[Date]]), MONTH(Tracking[[#This Row],[Date]])+1, 1),
Tracking[[#This Row],[Date]])</f>
        <v>46033</v>
      </c>
    </row>
    <row r="131" spans="3:15" x14ac:dyDescent="0.25">
      <c r="C131" s="38">
        <v>46033</v>
      </c>
      <c r="D131" s="38" t="s">
        <v>16</v>
      </c>
      <c r="E131" s="37" t="s">
        <v>27</v>
      </c>
      <c r="F131" s="37" t="s">
        <v>33</v>
      </c>
      <c r="G131" s="37" t="s">
        <v>71</v>
      </c>
      <c r="H131" s="84">
        <v>-10</v>
      </c>
      <c r="I131" s="85"/>
      <c r="J131" s="86"/>
      <c r="K131" s="47"/>
      <c r="L131" s="40" cm="1">
        <f t="array" ref="L131">SUMPRODUCT(Tracking[Amount $],--(Tracking[Date]&lt;=Tracking[[#This Row],[Date]]),(Tracking[Type]&lt;&gt;"Income") * (-1) + (Tracking[Type]="Income"), --(Tracking[Payment Type] = "Cash"))</f>
        <v>892</v>
      </c>
      <c r="M131" s="40" cm="1">
        <f t="array" ref="M131">SUMPRODUCT(Tracking[Amount LBP],--(Tracking[Date]&lt;=Tracking[[#This Row],[Date]]),(Tracking[Type]&lt;&gt;"Income") * (-1) + (Tracking[Type]="Income"), --(Tracking[Payment Type] = "Cash"))</f>
        <v>25000</v>
      </c>
      <c r="N131" s="40" cm="1">
        <f t="array" ref="N131">SUMPRODUCT(Tracking[Amount €],--(Tracking[Date]&lt;=Tracking[[#This Row],[Date]]),(Tracking[Type]&lt;&gt;"Income") * (-1) + (Tracking[Type]="Income"), --(Tracking[Payment Type] = "Cash"))</f>
        <v>6204.07</v>
      </c>
      <c r="O131" s="43" cm="1">
        <f t="array" ref="O131">IF(AND(Tracking[[#This Row],[Type]]="Income", Shift_Late_Income_Status="Active", DAY(Tracking[[#This Row],[Date]])&gt;=Shift_Late_Income_Starting_Day),
DATE(YEAR(Tracking[[#This Row],[Date]]), MONTH(Tracking[[#This Row],[Date]])+1, 1),
Tracking[[#This Row],[Date]])</f>
        <v>46033</v>
      </c>
    </row>
    <row r="132" spans="3:15" x14ac:dyDescent="0.25">
      <c r="C132" s="38">
        <v>46041</v>
      </c>
      <c r="D132" s="38" t="s">
        <v>82</v>
      </c>
      <c r="E132" s="37" t="s">
        <v>27</v>
      </c>
      <c r="F132" s="37" t="s">
        <v>39</v>
      </c>
      <c r="G132" s="37" t="s">
        <v>353</v>
      </c>
      <c r="H132" s="84">
        <v>-43</v>
      </c>
      <c r="I132" s="85"/>
      <c r="J132" s="86"/>
      <c r="K132" s="47"/>
      <c r="L132" s="40" cm="1">
        <f t="array" ref="L132">SUMPRODUCT(Tracking[Amount $],--(Tracking[Date]&lt;=Tracking[[#This Row],[Date]]),(Tracking[Type]&lt;&gt;"Income") * (-1) + (Tracking[Type]="Income"), --(Tracking[Payment Type] = "Cash"))</f>
        <v>762</v>
      </c>
      <c r="M132" s="40" cm="1">
        <f t="array" ref="M132">SUMPRODUCT(Tracking[Amount LBP],--(Tracking[Date]&lt;=Tracking[[#This Row],[Date]]),(Tracking[Type]&lt;&gt;"Income") * (-1) + (Tracking[Type]="Income"), --(Tracking[Payment Type] = "Cash"))</f>
        <v>25000</v>
      </c>
      <c r="N132" s="40" cm="1">
        <f t="array" ref="N132">SUMPRODUCT(Tracking[Amount €],--(Tracking[Date]&lt;=Tracking[[#This Row],[Date]]),(Tracking[Type]&lt;&gt;"Income") * (-1) + (Tracking[Type]="Income"), --(Tracking[Payment Type] = "Cash"))</f>
        <v>6204.07</v>
      </c>
      <c r="O132" s="43" cm="1">
        <f t="array" ref="O132">IF(AND(Tracking[[#This Row],[Type]]="Income", Shift_Late_Income_Status="Active", DAY(Tracking[[#This Row],[Date]])&gt;=Shift_Late_Income_Starting_Day),
DATE(YEAR(Tracking[[#This Row],[Date]]), MONTH(Tracking[[#This Row],[Date]])+1, 1),
Tracking[[#This Row],[Date]])</f>
        <v>46041</v>
      </c>
    </row>
    <row r="133" spans="3:15" x14ac:dyDescent="0.25">
      <c r="C133" s="38">
        <v>46041</v>
      </c>
      <c r="D133" s="38" t="s">
        <v>16</v>
      </c>
      <c r="E133" s="37" t="s">
        <v>27</v>
      </c>
      <c r="F133" s="37" t="s">
        <v>39</v>
      </c>
      <c r="G133" s="37" t="s">
        <v>353</v>
      </c>
      <c r="H133" s="84">
        <v>130</v>
      </c>
      <c r="I133" s="85"/>
      <c r="J133" s="86"/>
      <c r="K133" s="47"/>
      <c r="L133" s="40" cm="1">
        <f t="array" ref="L133">SUMPRODUCT(Tracking[Amount $],--(Tracking[Date]&lt;=Tracking[[#This Row],[Date]]),(Tracking[Type]&lt;&gt;"Income") * (-1) + (Tracking[Type]="Income"), --(Tracking[Payment Type] = "Cash"))</f>
        <v>762</v>
      </c>
      <c r="M133" s="40" cm="1">
        <f t="array" ref="M133">SUMPRODUCT(Tracking[Amount LBP],--(Tracking[Date]&lt;=Tracking[[#This Row],[Date]]),(Tracking[Type]&lt;&gt;"Income") * (-1) + (Tracking[Type]="Income"), --(Tracking[Payment Type] = "Cash"))</f>
        <v>25000</v>
      </c>
      <c r="N133" s="40" cm="1">
        <f t="array" ref="N133">SUMPRODUCT(Tracking[Amount €],--(Tracking[Date]&lt;=Tracking[[#This Row],[Date]]),(Tracking[Type]&lt;&gt;"Income") * (-1) + (Tracking[Type]="Income"), --(Tracking[Payment Type] = "Cash"))</f>
        <v>6204.07</v>
      </c>
      <c r="O133" s="43" cm="1">
        <f t="array" ref="O133">IF(AND(Tracking[[#This Row],[Type]]="Income", Shift_Late_Income_Status="Active", DAY(Tracking[[#This Row],[Date]])&gt;=Shift_Late_Income_Starting_Day),
DATE(YEAR(Tracking[[#This Row],[Date]]), MONTH(Tracking[[#This Row],[Date]])+1, 1),
Tracking[[#This Row],[Date]])</f>
        <v>46041</v>
      </c>
    </row>
    <row r="134" spans="3:15" x14ac:dyDescent="0.25">
      <c r="C134" s="38"/>
      <c r="D134" s="38"/>
      <c r="E134" s="37"/>
      <c r="F134" s="37"/>
      <c r="G134" s="37"/>
      <c r="H134" s="84"/>
      <c r="I134" s="85"/>
      <c r="J134" s="86"/>
      <c r="K134" s="47"/>
      <c r="L134" s="40"/>
      <c r="M134" s="40"/>
      <c r="N134" s="40"/>
      <c r="O134" s="43"/>
    </row>
    <row r="135" spans="3:15" x14ac:dyDescent="0.25">
      <c r="C135" s="38"/>
      <c r="D135" s="38"/>
      <c r="E135" s="37"/>
      <c r="F135" s="37"/>
      <c r="G135" s="37"/>
      <c r="H135" s="84"/>
      <c r="I135" s="85"/>
      <c r="J135" s="86"/>
      <c r="K135" s="47"/>
      <c r="L135" s="40"/>
      <c r="M135" s="40"/>
      <c r="N135" s="40"/>
      <c r="O135" s="43"/>
    </row>
    <row r="136" spans="3:15" x14ac:dyDescent="0.25">
      <c r="C136" s="38"/>
      <c r="D136" s="38"/>
      <c r="E136" s="37"/>
      <c r="F136" s="37"/>
      <c r="G136" s="37"/>
      <c r="H136" s="84"/>
      <c r="I136" s="85"/>
      <c r="J136" s="86"/>
      <c r="K136" s="47"/>
      <c r="L136" s="40"/>
      <c r="M136" s="40"/>
      <c r="N136" s="40"/>
      <c r="O136" s="43"/>
    </row>
    <row r="137" spans="3:15" x14ac:dyDescent="0.25">
      <c r="C137" s="38"/>
      <c r="D137" s="38"/>
      <c r="E137" s="37"/>
      <c r="F137" s="37"/>
      <c r="G137" s="37"/>
      <c r="H137" s="84"/>
      <c r="I137" s="85"/>
      <c r="J137" s="86"/>
      <c r="K137" s="47"/>
      <c r="L137" s="40"/>
      <c r="M137" s="40"/>
      <c r="N137" s="40"/>
      <c r="O137" s="43"/>
    </row>
    <row r="138" spans="3:15" x14ac:dyDescent="0.25">
      <c r="C138" s="38"/>
      <c r="D138" s="38"/>
      <c r="E138" s="37"/>
      <c r="F138" s="37"/>
      <c r="G138" s="37"/>
      <c r="H138" s="84"/>
      <c r="I138" s="85"/>
      <c r="J138" s="86"/>
      <c r="K138" s="47"/>
      <c r="L138" s="40"/>
      <c r="M138" s="40"/>
      <c r="N138" s="40"/>
      <c r="O138" s="43"/>
    </row>
    <row r="139" spans="3:15" x14ac:dyDescent="0.25">
      <c r="C139" s="38"/>
      <c r="D139" s="38"/>
      <c r="E139" s="37"/>
      <c r="F139" s="37"/>
      <c r="G139" s="37"/>
      <c r="H139" s="84"/>
      <c r="I139" s="85"/>
      <c r="J139" s="86"/>
      <c r="K139" s="105"/>
      <c r="L139" s="40"/>
      <c r="M139" s="40"/>
      <c r="N139" s="40"/>
      <c r="O139" s="43"/>
    </row>
    <row r="140" spans="3:15" x14ac:dyDescent="0.25">
      <c r="C140" s="38"/>
      <c r="D140" s="38"/>
      <c r="E140" s="37"/>
      <c r="F140" s="37"/>
      <c r="G140" s="37"/>
      <c r="H140" s="84"/>
      <c r="I140" s="85"/>
      <c r="J140" s="86"/>
      <c r="K140" s="105"/>
      <c r="L140" s="40"/>
      <c r="M140" s="40"/>
      <c r="N140" s="40"/>
      <c r="O140" s="43"/>
    </row>
    <row r="141" spans="3:15" x14ac:dyDescent="0.25">
      <c r="C141" s="38"/>
      <c r="D141" s="38"/>
      <c r="E141" s="37"/>
      <c r="F141" s="37"/>
      <c r="G141" s="37"/>
      <c r="H141" s="84"/>
      <c r="I141" s="85"/>
      <c r="J141" s="86"/>
      <c r="K141" s="105"/>
      <c r="L141" s="40"/>
      <c r="M141" s="40"/>
      <c r="N141" s="40"/>
      <c r="O141" s="43"/>
    </row>
    <row r="142" spans="3:15" x14ac:dyDescent="0.25">
      <c r="C142" s="38"/>
      <c r="D142" s="38"/>
      <c r="E142" s="37"/>
      <c r="F142" s="37"/>
      <c r="G142" s="37"/>
      <c r="H142" s="84"/>
      <c r="I142" s="85"/>
      <c r="J142" s="86"/>
      <c r="K142" s="47"/>
      <c r="L142" s="40"/>
      <c r="M142" s="40"/>
      <c r="N142" s="40"/>
      <c r="O142" s="43"/>
    </row>
    <row r="143" spans="3:15" x14ac:dyDescent="0.25">
      <c r="C143" s="38"/>
      <c r="D143" s="38"/>
      <c r="E143" s="37"/>
      <c r="F143" s="37"/>
      <c r="G143" s="37"/>
      <c r="H143" s="84"/>
      <c r="I143" s="85"/>
      <c r="J143" s="86"/>
      <c r="K143" s="47"/>
      <c r="L143" s="40"/>
      <c r="M143" s="40"/>
      <c r="N143" s="40"/>
      <c r="O143" s="43"/>
    </row>
    <row r="144" spans="3:15" x14ac:dyDescent="0.25">
      <c r="C144" s="38"/>
      <c r="D144" s="38"/>
      <c r="E144" s="37"/>
      <c r="F144" s="37"/>
      <c r="G144" s="37"/>
      <c r="H144" s="84"/>
      <c r="I144" s="85"/>
      <c r="J144" s="86"/>
      <c r="K144" s="47"/>
      <c r="L144" s="40"/>
      <c r="M144" s="40"/>
      <c r="N144" s="40"/>
      <c r="O144" s="43"/>
    </row>
    <row r="145" spans="3:15" x14ac:dyDescent="0.25">
      <c r="C145" s="38"/>
      <c r="D145" s="38"/>
      <c r="E145" s="37"/>
      <c r="F145" s="37"/>
      <c r="G145" s="37"/>
      <c r="H145" s="84"/>
      <c r="I145" s="85"/>
      <c r="J145" s="86"/>
      <c r="K145" s="47"/>
      <c r="L145" s="40"/>
      <c r="M145" s="40"/>
      <c r="N145" s="40"/>
      <c r="O145" s="43"/>
    </row>
    <row r="146" spans="3:15" x14ac:dyDescent="0.25">
      <c r="C146" s="38"/>
      <c r="D146" s="38"/>
      <c r="E146" s="37"/>
      <c r="F146" s="37"/>
      <c r="G146" s="37"/>
      <c r="H146" s="84"/>
      <c r="I146" s="85"/>
      <c r="J146" s="86"/>
      <c r="K146" s="47"/>
      <c r="L146" s="40"/>
      <c r="M146" s="40"/>
      <c r="N146" s="40"/>
      <c r="O146" s="43"/>
    </row>
    <row r="147" spans="3:15" x14ac:dyDescent="0.25">
      <c r="C147" s="38"/>
      <c r="D147" s="38"/>
      <c r="E147" s="37"/>
      <c r="F147" s="37"/>
      <c r="G147" s="37"/>
      <c r="H147" s="84"/>
      <c r="I147" s="85"/>
      <c r="J147" s="86"/>
      <c r="K147" s="47"/>
      <c r="L147" s="40"/>
      <c r="M147" s="40"/>
      <c r="N147" s="40"/>
      <c r="O147" s="43"/>
    </row>
    <row r="148" spans="3:15" x14ac:dyDescent="0.25">
      <c r="C148" s="38"/>
      <c r="D148" s="38"/>
      <c r="E148" s="37"/>
      <c r="F148" s="37"/>
      <c r="G148" s="37"/>
      <c r="H148" s="84"/>
      <c r="I148" s="85"/>
      <c r="J148" s="86"/>
      <c r="K148" s="47"/>
      <c r="L148" s="40"/>
      <c r="M148" s="40"/>
      <c r="N148" s="40"/>
      <c r="O148" s="43"/>
    </row>
    <row r="149" spans="3:15" x14ac:dyDescent="0.25">
      <c r="C149" s="38"/>
      <c r="D149" s="38"/>
      <c r="E149" s="37"/>
      <c r="F149" s="37"/>
      <c r="G149" s="37"/>
      <c r="H149" s="84"/>
      <c r="I149" s="85"/>
      <c r="J149" s="86"/>
      <c r="K149" s="47"/>
      <c r="L149" s="40"/>
      <c r="M149" s="40"/>
      <c r="N149" s="40"/>
      <c r="O149" s="43"/>
    </row>
    <row r="150" spans="3:15" x14ac:dyDescent="0.25">
      <c r="C150" s="38"/>
      <c r="D150" s="38"/>
      <c r="E150" s="37"/>
      <c r="F150" s="37"/>
      <c r="G150" s="37"/>
      <c r="H150" s="84"/>
      <c r="I150" s="85"/>
      <c r="J150" s="86"/>
      <c r="K150" s="47"/>
      <c r="L150" s="40"/>
      <c r="M150" s="40"/>
      <c r="N150" s="40"/>
      <c r="O150" s="43"/>
    </row>
    <row r="151" spans="3:15" x14ac:dyDescent="0.25">
      <c r="C151" s="38"/>
      <c r="D151" s="38"/>
      <c r="E151" s="37"/>
      <c r="F151" s="37"/>
      <c r="G151" s="37"/>
      <c r="H151" s="84"/>
      <c r="I151" s="85"/>
      <c r="J151" s="86"/>
      <c r="K151" s="47"/>
      <c r="L151" s="40"/>
      <c r="M151" s="40"/>
      <c r="N151" s="40"/>
      <c r="O151" s="43"/>
    </row>
    <row r="152" spans="3:15" x14ac:dyDescent="0.25">
      <c r="C152" s="38"/>
      <c r="D152" s="38"/>
      <c r="E152" s="37"/>
      <c r="F152" s="37"/>
      <c r="G152" s="37"/>
      <c r="H152" s="84"/>
      <c r="I152" s="85"/>
      <c r="J152" s="86"/>
      <c r="K152" s="47"/>
      <c r="L152" s="40"/>
      <c r="M152" s="40"/>
      <c r="N152" s="40"/>
      <c r="O152" s="43"/>
    </row>
    <row r="153" spans="3:15" x14ac:dyDescent="0.25">
      <c r="C153" s="38"/>
      <c r="D153" s="38"/>
      <c r="E153" s="37"/>
      <c r="F153" s="37"/>
      <c r="G153" s="37"/>
      <c r="H153" s="84"/>
      <c r="I153" s="85"/>
      <c r="J153" s="86"/>
      <c r="K153" s="47"/>
      <c r="L153" s="40"/>
      <c r="M153" s="40"/>
      <c r="N153" s="40"/>
      <c r="O153" s="43"/>
    </row>
    <row r="154" spans="3:15" x14ac:dyDescent="0.25">
      <c r="C154" s="38"/>
      <c r="D154" s="38"/>
      <c r="E154" s="37"/>
      <c r="F154" s="37"/>
      <c r="G154" s="37"/>
      <c r="H154" s="84"/>
      <c r="I154" s="85"/>
      <c r="J154" s="86"/>
      <c r="K154" s="47"/>
      <c r="L154" s="40"/>
      <c r="M154" s="40"/>
      <c r="N154" s="40"/>
      <c r="O154" s="43"/>
    </row>
    <row r="155" spans="3:15" x14ac:dyDescent="0.25">
      <c r="C155" s="38"/>
      <c r="D155" s="38"/>
      <c r="E155" s="37"/>
      <c r="F155" s="37"/>
      <c r="G155" s="37"/>
      <c r="H155" s="84"/>
      <c r="I155" s="85"/>
      <c r="J155" s="86"/>
      <c r="K155" s="47"/>
      <c r="L155" s="40"/>
      <c r="M155" s="40"/>
      <c r="N155" s="40"/>
      <c r="O155" s="43"/>
    </row>
    <row r="156" spans="3:15" x14ac:dyDescent="0.25">
      <c r="C156" s="38"/>
      <c r="D156" s="38"/>
      <c r="E156" s="37"/>
      <c r="F156" s="37"/>
      <c r="G156" s="37"/>
      <c r="H156" s="84"/>
      <c r="I156" s="85"/>
      <c r="J156" s="86"/>
      <c r="K156" s="47"/>
      <c r="L156" s="40"/>
      <c r="M156" s="40"/>
      <c r="N156" s="40"/>
      <c r="O156" s="43"/>
    </row>
    <row r="157" spans="3:15" x14ac:dyDescent="0.25">
      <c r="C157" s="38"/>
      <c r="D157" s="38"/>
      <c r="E157" s="37"/>
      <c r="F157" s="37"/>
      <c r="G157" s="37"/>
      <c r="H157" s="84"/>
      <c r="I157" s="85"/>
      <c r="J157" s="86"/>
      <c r="K157" s="47"/>
      <c r="L157" s="40"/>
      <c r="M157" s="40"/>
      <c r="N157" s="40"/>
      <c r="O157" s="43"/>
    </row>
    <row r="158" spans="3:15" x14ac:dyDescent="0.25">
      <c r="C158" s="38"/>
      <c r="D158" s="38"/>
      <c r="E158" s="37"/>
      <c r="F158" s="37"/>
      <c r="G158" s="37"/>
      <c r="H158" s="84"/>
      <c r="I158" s="85"/>
      <c r="J158" s="86"/>
      <c r="K158" s="47"/>
      <c r="L158" s="40"/>
      <c r="M158" s="40"/>
      <c r="N158" s="40"/>
      <c r="O158" s="43"/>
    </row>
    <row r="159" spans="3:15" x14ac:dyDescent="0.25">
      <c r="C159" s="38"/>
      <c r="D159" s="38"/>
      <c r="E159" s="37"/>
      <c r="F159" s="37"/>
      <c r="G159" s="37"/>
      <c r="H159" s="84"/>
      <c r="I159" s="85"/>
      <c r="J159" s="86"/>
      <c r="K159" s="47"/>
      <c r="L159" s="40"/>
      <c r="M159" s="40"/>
      <c r="N159" s="40"/>
      <c r="O159" s="43"/>
    </row>
    <row r="160" spans="3:15" x14ac:dyDescent="0.25">
      <c r="C160" s="38"/>
      <c r="D160" s="38"/>
      <c r="E160" s="37"/>
      <c r="F160" s="37"/>
      <c r="G160" s="37"/>
      <c r="H160" s="84"/>
      <c r="I160" s="85"/>
      <c r="J160" s="86"/>
      <c r="K160" s="47"/>
      <c r="L160" s="40"/>
      <c r="M160" s="40"/>
      <c r="N160" s="40"/>
      <c r="O160" s="43"/>
    </row>
    <row r="161" spans="3:15" x14ac:dyDescent="0.25">
      <c r="C161" s="38"/>
      <c r="D161" s="38"/>
      <c r="E161" s="37"/>
      <c r="F161" s="37"/>
      <c r="G161" s="37"/>
      <c r="H161" s="84"/>
      <c r="I161" s="85"/>
      <c r="J161" s="86"/>
      <c r="K161" s="47"/>
      <c r="L161" s="40"/>
      <c r="M161" s="40"/>
      <c r="N161" s="40"/>
      <c r="O161" s="43"/>
    </row>
    <row r="162" spans="3:15" x14ac:dyDescent="0.25">
      <c r="C162" s="38"/>
      <c r="D162" s="38"/>
      <c r="E162" s="37"/>
      <c r="F162" s="37"/>
      <c r="G162" s="37"/>
      <c r="H162" s="84"/>
      <c r="I162" s="85"/>
      <c r="J162" s="86"/>
      <c r="K162" s="47"/>
      <c r="L162" s="40"/>
      <c r="M162" s="40"/>
      <c r="N162" s="40"/>
      <c r="O162" s="43"/>
    </row>
    <row r="163" spans="3:15" x14ac:dyDescent="0.25">
      <c r="C163" s="38"/>
      <c r="D163" s="38"/>
      <c r="E163" s="37"/>
      <c r="F163" s="37"/>
      <c r="G163" s="37"/>
      <c r="H163" s="84"/>
      <c r="I163" s="85"/>
      <c r="J163" s="86"/>
      <c r="K163" s="47"/>
      <c r="L163" s="40"/>
      <c r="M163" s="40"/>
      <c r="N163" s="40"/>
      <c r="O163" s="43"/>
    </row>
    <row r="164" spans="3:15" x14ac:dyDescent="0.25">
      <c r="C164" s="38"/>
      <c r="D164" s="38"/>
      <c r="E164" s="37"/>
      <c r="F164" s="37"/>
      <c r="G164" s="37"/>
      <c r="H164" s="84"/>
      <c r="I164" s="85"/>
      <c r="J164" s="86"/>
      <c r="K164" s="47"/>
      <c r="L164" s="40"/>
      <c r="M164" s="40"/>
      <c r="N164" s="40"/>
      <c r="O164" s="43"/>
    </row>
    <row r="165" spans="3:15" x14ac:dyDescent="0.25">
      <c r="C165" s="38"/>
      <c r="D165" s="38"/>
      <c r="E165" s="37"/>
      <c r="F165" s="37"/>
      <c r="G165" s="37"/>
      <c r="H165" s="84"/>
      <c r="I165" s="85"/>
      <c r="J165" s="86"/>
      <c r="K165" s="47"/>
      <c r="L165" s="40"/>
      <c r="M165" s="40"/>
      <c r="N165" s="40"/>
      <c r="O165" s="43"/>
    </row>
    <row r="166" spans="3:15" x14ac:dyDescent="0.25">
      <c r="C166" s="38"/>
      <c r="D166" s="38"/>
      <c r="E166" s="37"/>
      <c r="F166" s="37"/>
      <c r="G166" s="37"/>
      <c r="H166" s="84"/>
      <c r="I166" s="85"/>
      <c r="J166" s="86"/>
      <c r="K166" s="47"/>
      <c r="L166" s="40"/>
      <c r="M166" s="40"/>
      <c r="N166" s="40"/>
      <c r="O166" s="43"/>
    </row>
    <row r="167" spans="3:15" x14ac:dyDescent="0.25">
      <c r="C167" s="38"/>
      <c r="D167" s="38"/>
      <c r="E167" s="37"/>
      <c r="F167" s="37"/>
      <c r="G167" s="37"/>
      <c r="H167" s="84"/>
      <c r="I167" s="85"/>
      <c r="J167" s="86"/>
      <c r="K167" s="47"/>
      <c r="L167" s="40"/>
      <c r="M167" s="40"/>
      <c r="N167" s="40"/>
      <c r="O167" s="43"/>
    </row>
    <row r="168" spans="3:15" x14ac:dyDescent="0.25">
      <c r="C168" s="38"/>
      <c r="D168" s="38"/>
      <c r="E168" s="37"/>
      <c r="F168" s="37"/>
      <c r="G168" s="37"/>
      <c r="H168" s="84"/>
      <c r="I168" s="85"/>
      <c r="J168" s="86"/>
      <c r="K168" s="47"/>
      <c r="L168" s="40"/>
      <c r="M168" s="40"/>
      <c r="N168" s="40"/>
      <c r="O168" s="43"/>
    </row>
    <row r="169" spans="3:15" x14ac:dyDescent="0.25">
      <c r="C169" s="38"/>
      <c r="D169" s="38"/>
      <c r="E169" s="37"/>
      <c r="F169" s="37"/>
      <c r="G169" s="37"/>
      <c r="H169" s="84"/>
      <c r="I169" s="85"/>
      <c r="J169" s="86"/>
      <c r="K169" s="47"/>
      <c r="L169" s="40"/>
      <c r="M169" s="40"/>
      <c r="N169" s="40"/>
      <c r="O169" s="43"/>
    </row>
    <row r="170" spans="3:15" x14ac:dyDescent="0.25">
      <c r="C170" s="38"/>
      <c r="D170" s="38"/>
      <c r="E170" s="37"/>
      <c r="F170" s="37"/>
      <c r="G170" s="37"/>
      <c r="H170" s="84"/>
      <c r="I170" s="85"/>
      <c r="J170" s="86"/>
      <c r="K170" s="47"/>
      <c r="L170" s="40"/>
      <c r="M170" s="40"/>
      <c r="N170" s="40"/>
      <c r="O170" s="43"/>
    </row>
    <row r="171" spans="3:15" x14ac:dyDescent="0.25">
      <c r="C171" s="38"/>
      <c r="D171" s="38"/>
      <c r="E171" s="37"/>
      <c r="F171" s="37"/>
      <c r="G171" s="37"/>
      <c r="H171" s="84"/>
      <c r="I171" s="85"/>
      <c r="J171" s="86"/>
      <c r="K171" s="47"/>
      <c r="L171" s="40"/>
      <c r="M171" s="40"/>
      <c r="N171" s="40"/>
      <c r="O171" s="43"/>
    </row>
    <row r="172" spans="3:15" x14ac:dyDescent="0.25">
      <c r="C172" s="38"/>
      <c r="D172" s="38"/>
      <c r="E172" s="37"/>
      <c r="F172" s="37"/>
      <c r="G172" s="37"/>
      <c r="H172" s="84"/>
      <c r="I172" s="85"/>
      <c r="J172" s="86"/>
      <c r="K172" s="47"/>
      <c r="L172" s="40"/>
      <c r="M172" s="40"/>
      <c r="N172" s="40"/>
      <c r="O172" s="43"/>
    </row>
    <row r="173" spans="3:15" x14ac:dyDescent="0.25">
      <c r="C173" s="38"/>
      <c r="D173" s="38"/>
      <c r="E173" s="37"/>
      <c r="F173" s="37"/>
      <c r="G173" s="37"/>
      <c r="H173" s="84"/>
      <c r="I173" s="85"/>
      <c r="J173" s="86"/>
      <c r="K173" s="47"/>
      <c r="L173" s="40"/>
      <c r="M173" s="40"/>
      <c r="N173" s="40"/>
      <c r="O173" s="43"/>
    </row>
    <row r="174" spans="3:15" x14ac:dyDescent="0.25">
      <c r="C174" s="38"/>
      <c r="D174" s="38"/>
      <c r="E174" s="37"/>
      <c r="F174" s="37"/>
      <c r="G174" s="37"/>
      <c r="H174" s="84"/>
      <c r="I174" s="85"/>
      <c r="J174" s="86"/>
      <c r="K174" s="47"/>
      <c r="L174" s="40"/>
      <c r="M174" s="40"/>
      <c r="N174" s="40"/>
      <c r="O174" s="43"/>
    </row>
    <row r="175" spans="3:15" x14ac:dyDescent="0.25">
      <c r="C175" s="38"/>
      <c r="D175" s="38"/>
      <c r="E175" s="37"/>
      <c r="F175" s="37"/>
      <c r="G175" s="37"/>
      <c r="H175" s="84"/>
      <c r="I175" s="85"/>
      <c r="J175" s="86"/>
      <c r="K175" s="47"/>
      <c r="L175" s="40"/>
      <c r="M175" s="40"/>
      <c r="N175" s="40"/>
      <c r="O175" s="43"/>
    </row>
    <row r="176" spans="3:15" x14ac:dyDescent="0.25">
      <c r="C176" s="38"/>
      <c r="D176" s="38"/>
      <c r="E176" s="37"/>
      <c r="F176" s="37"/>
      <c r="G176" s="37"/>
      <c r="H176" s="84"/>
      <c r="I176" s="85"/>
      <c r="J176" s="86"/>
      <c r="K176" s="47"/>
      <c r="L176" s="40"/>
      <c r="M176" s="40"/>
      <c r="N176" s="40"/>
      <c r="O176" s="43"/>
    </row>
    <row r="177" spans="3:15" x14ac:dyDescent="0.25">
      <c r="C177" s="38"/>
      <c r="D177" s="38"/>
      <c r="E177" s="37"/>
      <c r="F177" s="37"/>
      <c r="G177" s="37"/>
      <c r="H177" s="84"/>
      <c r="I177" s="85"/>
      <c r="J177" s="86"/>
      <c r="K177" s="47"/>
      <c r="L177" s="40"/>
      <c r="M177" s="40"/>
      <c r="N177" s="40"/>
      <c r="O177" s="43"/>
    </row>
    <row r="178" spans="3:15" x14ac:dyDescent="0.25">
      <c r="C178" s="38"/>
      <c r="D178" s="38"/>
      <c r="E178" s="37"/>
      <c r="F178" s="37"/>
      <c r="G178" s="37"/>
      <c r="H178" s="84"/>
      <c r="I178" s="85"/>
      <c r="J178" s="86"/>
      <c r="K178" s="47"/>
      <c r="L178" s="40"/>
      <c r="M178" s="40"/>
      <c r="N178" s="40"/>
      <c r="O178" s="43"/>
    </row>
    <row r="179" spans="3:15" x14ac:dyDescent="0.25">
      <c r="C179" s="38"/>
      <c r="D179" s="38"/>
      <c r="E179" s="37"/>
      <c r="F179" s="37"/>
      <c r="G179" s="37"/>
      <c r="H179" s="84"/>
      <c r="I179" s="85"/>
      <c r="J179" s="86"/>
      <c r="K179" s="47"/>
      <c r="L179" s="40"/>
      <c r="M179" s="40"/>
      <c r="N179" s="40"/>
      <c r="O179" s="43"/>
    </row>
    <row r="180" spans="3:15" x14ac:dyDescent="0.25">
      <c r="C180" s="38"/>
      <c r="D180" s="38"/>
      <c r="E180" s="37"/>
      <c r="F180" s="37"/>
      <c r="G180" s="37"/>
      <c r="H180" s="84"/>
      <c r="I180" s="85"/>
      <c r="J180" s="86"/>
      <c r="K180" s="47"/>
      <c r="L180" s="40"/>
      <c r="M180" s="40"/>
      <c r="N180" s="40"/>
      <c r="O180" s="43"/>
    </row>
    <row r="181" spans="3:15" x14ac:dyDescent="0.25">
      <c r="C181" s="38"/>
      <c r="D181" s="38"/>
      <c r="E181" s="37"/>
      <c r="F181" s="37"/>
      <c r="G181" s="37"/>
      <c r="H181" s="84"/>
      <c r="I181" s="85"/>
      <c r="J181" s="86"/>
      <c r="K181" s="47"/>
      <c r="L181" s="40"/>
      <c r="M181" s="40"/>
      <c r="N181" s="40"/>
      <c r="O181" s="43"/>
    </row>
    <row r="182" spans="3:15" x14ac:dyDescent="0.25">
      <c r="C182" s="38"/>
      <c r="D182" s="38"/>
      <c r="E182" s="37"/>
      <c r="F182" s="37"/>
      <c r="G182" s="37"/>
      <c r="H182" s="84"/>
      <c r="I182" s="85"/>
      <c r="J182" s="86"/>
      <c r="K182" s="47"/>
      <c r="L182" s="40"/>
      <c r="M182" s="40"/>
      <c r="N182" s="40"/>
      <c r="O182" s="43"/>
    </row>
    <row r="183" spans="3:15" x14ac:dyDescent="0.25">
      <c r="C183" s="38"/>
      <c r="D183" s="38"/>
      <c r="E183" s="37"/>
      <c r="F183" s="37"/>
      <c r="G183" s="37"/>
      <c r="H183" s="84"/>
      <c r="I183" s="85"/>
      <c r="J183" s="86"/>
      <c r="K183" s="47"/>
      <c r="L183" s="40"/>
      <c r="M183" s="40"/>
      <c r="N183" s="40"/>
      <c r="O183" s="43"/>
    </row>
    <row r="184" spans="3:15" x14ac:dyDescent="0.25">
      <c r="C184" s="38"/>
      <c r="D184" s="38"/>
      <c r="E184" s="37"/>
      <c r="F184" s="37"/>
      <c r="G184" s="37"/>
      <c r="H184" s="84"/>
      <c r="I184" s="85"/>
      <c r="J184" s="86"/>
      <c r="K184" s="47"/>
      <c r="L184" s="40"/>
      <c r="M184" s="40"/>
      <c r="N184" s="40"/>
      <c r="O184" s="43"/>
    </row>
    <row r="185" spans="3:15" x14ac:dyDescent="0.25">
      <c r="C185" s="38"/>
      <c r="D185" s="38"/>
      <c r="E185" s="37"/>
      <c r="F185" s="37"/>
      <c r="G185" s="37"/>
      <c r="H185" s="84"/>
      <c r="I185" s="85"/>
      <c r="J185" s="86"/>
      <c r="K185" s="47"/>
      <c r="L185" s="40"/>
      <c r="M185" s="40"/>
      <c r="N185" s="40"/>
      <c r="O185" s="43"/>
    </row>
    <row r="186" spans="3:15" x14ac:dyDescent="0.25">
      <c r="C186" s="38"/>
      <c r="D186" s="38"/>
      <c r="E186" s="37"/>
      <c r="F186" s="37"/>
      <c r="G186" s="37"/>
      <c r="H186" s="84"/>
      <c r="I186" s="85"/>
      <c r="J186" s="86"/>
      <c r="K186" s="47"/>
      <c r="L186" s="40"/>
      <c r="M186" s="40"/>
      <c r="N186" s="40"/>
      <c r="O186" s="43"/>
    </row>
    <row r="187" spans="3:15" x14ac:dyDescent="0.25">
      <c r="C187" s="38"/>
      <c r="D187" s="38"/>
      <c r="E187" s="37"/>
      <c r="F187" s="37"/>
      <c r="G187" s="37"/>
      <c r="H187" s="84"/>
      <c r="I187" s="85"/>
      <c r="J187" s="86"/>
      <c r="K187" s="47"/>
      <c r="L187" s="40"/>
      <c r="M187" s="40"/>
      <c r="N187" s="40"/>
      <c r="O187" s="43"/>
    </row>
    <row r="188" spans="3:15" x14ac:dyDescent="0.25">
      <c r="C188" s="38"/>
      <c r="D188" s="38"/>
      <c r="E188" s="37"/>
      <c r="F188" s="37"/>
      <c r="G188" s="37"/>
      <c r="H188" s="84"/>
      <c r="I188" s="85"/>
      <c r="J188" s="86"/>
      <c r="K188" s="47"/>
      <c r="L188" s="40"/>
      <c r="M188" s="40"/>
      <c r="N188" s="40"/>
      <c r="O188" s="43"/>
    </row>
    <row r="189" spans="3:15" x14ac:dyDescent="0.25">
      <c r="C189" s="38"/>
      <c r="D189" s="38"/>
      <c r="E189" s="37"/>
      <c r="F189" s="37"/>
      <c r="G189" s="37"/>
      <c r="H189" s="84"/>
      <c r="I189" s="85"/>
      <c r="J189" s="86"/>
      <c r="K189" s="47"/>
      <c r="L189" s="40"/>
      <c r="M189" s="40"/>
      <c r="N189" s="40"/>
      <c r="O189" s="43"/>
    </row>
    <row r="190" spans="3:15" x14ac:dyDescent="0.25">
      <c r="C190" s="38"/>
      <c r="D190" s="38"/>
      <c r="E190" s="37"/>
      <c r="F190" s="37"/>
      <c r="G190" s="37"/>
      <c r="H190" s="84"/>
      <c r="I190" s="85"/>
      <c r="J190" s="86"/>
      <c r="K190" s="47"/>
      <c r="L190" s="40"/>
      <c r="M190" s="40"/>
      <c r="N190" s="40"/>
      <c r="O190" s="43"/>
    </row>
    <row r="191" spans="3:15" x14ac:dyDescent="0.25">
      <c r="C191" s="38"/>
      <c r="D191" s="38"/>
      <c r="E191" s="37"/>
      <c r="F191" s="37"/>
      <c r="G191" s="37"/>
      <c r="H191" s="84"/>
      <c r="I191" s="85"/>
      <c r="J191" s="86"/>
      <c r="K191" s="47"/>
      <c r="L191" s="40"/>
      <c r="M191" s="40"/>
      <c r="N191" s="40"/>
      <c r="O191" s="43"/>
    </row>
    <row r="192" spans="3:15" x14ac:dyDescent="0.25">
      <c r="C192" s="38"/>
      <c r="D192" s="38"/>
      <c r="E192" s="37"/>
      <c r="F192" s="37"/>
      <c r="G192" s="37"/>
      <c r="H192" s="84"/>
      <c r="I192" s="85"/>
      <c r="J192" s="86"/>
      <c r="K192" s="47"/>
      <c r="L192" s="40"/>
      <c r="M192" s="40"/>
      <c r="N192" s="40"/>
      <c r="O192" s="43"/>
    </row>
    <row r="193" spans="3:15" x14ac:dyDescent="0.25">
      <c r="C193" s="38"/>
      <c r="D193" s="38"/>
      <c r="E193" s="37"/>
      <c r="F193" s="37"/>
      <c r="G193" s="37"/>
      <c r="H193" s="84"/>
      <c r="I193" s="85"/>
      <c r="J193" s="86"/>
      <c r="K193" s="47"/>
      <c r="L193" s="40"/>
      <c r="M193" s="40"/>
      <c r="N193" s="40"/>
      <c r="O193" s="43"/>
    </row>
    <row r="194" spans="3:15" x14ac:dyDescent="0.25">
      <c r="C194" s="38"/>
      <c r="D194" s="38"/>
      <c r="E194" s="37"/>
      <c r="F194" s="37"/>
      <c r="G194" s="37"/>
      <c r="H194" s="84"/>
      <c r="I194" s="85"/>
      <c r="J194" s="86"/>
      <c r="K194" s="47"/>
      <c r="L194" s="40"/>
      <c r="M194" s="40"/>
      <c r="N194" s="40"/>
      <c r="O194" s="43"/>
    </row>
    <row r="195" spans="3:15" x14ac:dyDescent="0.25">
      <c r="C195" s="38"/>
      <c r="D195" s="38"/>
      <c r="E195" s="37"/>
      <c r="F195" s="37"/>
      <c r="G195" s="37"/>
      <c r="H195" s="84"/>
      <c r="I195" s="85"/>
      <c r="J195" s="86"/>
      <c r="K195" s="47"/>
      <c r="L195" s="40"/>
      <c r="M195" s="40"/>
      <c r="N195" s="40"/>
      <c r="O195" s="43"/>
    </row>
    <row r="196" spans="3:15" x14ac:dyDescent="0.25">
      <c r="C196" s="38"/>
      <c r="D196" s="38"/>
      <c r="E196" s="37"/>
      <c r="F196" s="37"/>
      <c r="G196" s="37"/>
      <c r="H196" s="84"/>
      <c r="I196" s="85"/>
      <c r="J196" s="86"/>
      <c r="K196" s="47"/>
      <c r="L196" s="40"/>
      <c r="M196" s="40"/>
      <c r="N196" s="40"/>
      <c r="O196" s="43"/>
    </row>
    <row r="197" spans="3:15" x14ac:dyDescent="0.25">
      <c r="C197" s="38"/>
      <c r="D197" s="38"/>
      <c r="E197" s="37"/>
      <c r="F197" s="37"/>
      <c r="G197" s="37"/>
      <c r="H197" s="84"/>
      <c r="I197" s="85"/>
      <c r="J197" s="86"/>
      <c r="K197" s="47"/>
      <c r="L197" s="40"/>
      <c r="M197" s="40"/>
      <c r="N197" s="40"/>
      <c r="O197" s="43"/>
    </row>
    <row r="198" spans="3:15" x14ac:dyDescent="0.25">
      <c r="C198" s="38"/>
      <c r="D198" s="38"/>
      <c r="E198" s="37"/>
      <c r="F198" s="37"/>
      <c r="G198" s="37"/>
      <c r="H198" s="84"/>
      <c r="I198" s="85"/>
      <c r="J198" s="86"/>
      <c r="K198" s="47"/>
      <c r="L198" s="40"/>
      <c r="M198" s="40"/>
      <c r="N198" s="40"/>
      <c r="O198" s="43"/>
    </row>
    <row r="199" spans="3:15" x14ac:dyDescent="0.25">
      <c r="C199" s="38"/>
      <c r="D199" s="38"/>
      <c r="E199" s="37"/>
      <c r="F199" s="37"/>
      <c r="G199" s="37"/>
      <c r="H199" s="84"/>
      <c r="I199" s="85"/>
      <c r="J199" s="86"/>
      <c r="K199" s="47"/>
      <c r="L199" s="40"/>
      <c r="M199" s="40"/>
      <c r="N199" s="40"/>
      <c r="O199" s="43"/>
    </row>
    <row r="200" spans="3:15" x14ac:dyDescent="0.25">
      <c r="C200" s="38"/>
      <c r="D200" s="38"/>
      <c r="E200" s="37"/>
      <c r="F200" s="37"/>
      <c r="G200" s="37"/>
      <c r="H200" s="84"/>
      <c r="I200" s="85"/>
      <c r="J200" s="86"/>
      <c r="K200" s="47"/>
      <c r="L200" s="40"/>
      <c r="M200" s="40"/>
      <c r="N200" s="40"/>
      <c r="O200" s="43"/>
    </row>
    <row r="201" spans="3:15" x14ac:dyDescent="0.25">
      <c r="C201" s="38"/>
      <c r="D201" s="38"/>
      <c r="E201" s="37"/>
      <c r="F201" s="37"/>
      <c r="G201" s="37"/>
      <c r="H201" s="84"/>
      <c r="I201" s="85"/>
      <c r="J201" s="86"/>
      <c r="K201" s="47"/>
      <c r="L201" s="40"/>
      <c r="M201" s="40"/>
      <c r="N201" s="40"/>
      <c r="O201" s="43"/>
    </row>
    <row r="202" spans="3:15" x14ac:dyDescent="0.25">
      <c r="C202" s="38"/>
      <c r="D202" s="38"/>
      <c r="E202" s="37"/>
      <c r="F202" s="37"/>
      <c r="G202" s="37"/>
      <c r="H202" s="84"/>
      <c r="I202" s="85"/>
      <c r="J202" s="86"/>
      <c r="K202" s="47"/>
      <c r="L202" s="40"/>
      <c r="M202" s="40"/>
      <c r="N202" s="40"/>
      <c r="O202" s="43"/>
    </row>
    <row r="203" spans="3:15" x14ac:dyDescent="0.25">
      <c r="C203" s="38"/>
      <c r="D203" s="38"/>
      <c r="E203" s="37"/>
      <c r="F203" s="37"/>
      <c r="G203" s="37"/>
      <c r="H203" s="84"/>
      <c r="I203" s="85"/>
      <c r="J203" s="86"/>
      <c r="K203" s="47"/>
      <c r="L203" s="40"/>
      <c r="M203" s="40"/>
      <c r="N203" s="40"/>
      <c r="O203" s="43"/>
    </row>
    <row r="204" spans="3:15" x14ac:dyDescent="0.25">
      <c r="C204" s="38"/>
      <c r="D204" s="38"/>
      <c r="E204" s="37"/>
      <c r="F204" s="37"/>
      <c r="G204" s="37"/>
      <c r="H204" s="84"/>
      <c r="I204" s="85"/>
      <c r="J204" s="86"/>
      <c r="K204" s="47"/>
      <c r="L204" s="40"/>
      <c r="M204" s="40"/>
      <c r="N204" s="40"/>
      <c r="O204" s="43"/>
    </row>
    <row r="205" spans="3:15" x14ac:dyDescent="0.25">
      <c r="C205" s="38"/>
      <c r="D205" s="38"/>
      <c r="E205" s="37"/>
      <c r="F205" s="37"/>
      <c r="G205" s="37"/>
      <c r="H205" s="84"/>
      <c r="I205" s="85"/>
      <c r="J205" s="86"/>
      <c r="K205" s="47"/>
      <c r="L205" s="40"/>
      <c r="M205" s="40"/>
      <c r="N205" s="40"/>
      <c r="O205" s="43"/>
    </row>
    <row r="206" spans="3:15" x14ac:dyDescent="0.25">
      <c r="C206" s="38"/>
      <c r="D206" s="38"/>
      <c r="E206" s="37"/>
      <c r="F206" s="37"/>
      <c r="G206" s="37"/>
      <c r="H206" s="84"/>
      <c r="I206" s="85"/>
      <c r="J206" s="86"/>
      <c r="K206" s="47"/>
      <c r="L206" s="40"/>
      <c r="M206" s="40"/>
      <c r="N206" s="40"/>
      <c r="O206" s="43"/>
    </row>
    <row r="207" spans="3:15" x14ac:dyDescent="0.25">
      <c r="C207" s="38"/>
      <c r="D207" s="38"/>
      <c r="E207" s="37"/>
      <c r="F207" s="37"/>
      <c r="G207" s="37"/>
      <c r="H207" s="84"/>
      <c r="I207" s="85"/>
      <c r="J207" s="86"/>
      <c r="K207" s="47"/>
      <c r="L207" s="40"/>
      <c r="M207" s="40"/>
      <c r="N207" s="40"/>
      <c r="O207" s="43"/>
    </row>
    <row r="208" spans="3:15" x14ac:dyDescent="0.25">
      <c r="C208" s="38"/>
      <c r="D208" s="38"/>
      <c r="E208" s="37"/>
      <c r="F208" s="37"/>
      <c r="G208" s="37"/>
      <c r="H208" s="84"/>
      <c r="I208" s="85"/>
      <c r="J208" s="86"/>
      <c r="K208" s="47"/>
      <c r="L208" s="40"/>
      <c r="M208" s="40"/>
      <c r="N208" s="40"/>
      <c r="O208" s="43"/>
    </row>
    <row r="209" spans="3:15" x14ac:dyDescent="0.25">
      <c r="C209" s="38"/>
      <c r="D209" s="38"/>
      <c r="E209" s="37"/>
      <c r="F209" s="37"/>
      <c r="G209" s="37"/>
      <c r="H209" s="84"/>
      <c r="I209" s="85"/>
      <c r="J209" s="86"/>
      <c r="K209" s="47"/>
      <c r="L209" s="40"/>
      <c r="M209" s="40"/>
      <c r="N209" s="40"/>
      <c r="O209" s="43"/>
    </row>
    <row r="210" spans="3:15" x14ac:dyDescent="0.25">
      <c r="C210" s="38"/>
      <c r="D210" s="38"/>
      <c r="E210" s="37"/>
      <c r="F210" s="37"/>
      <c r="G210" s="37"/>
      <c r="H210" s="84"/>
      <c r="I210" s="85"/>
      <c r="J210" s="86"/>
      <c r="K210" s="47"/>
      <c r="L210" s="40"/>
      <c r="M210" s="40"/>
      <c r="N210" s="40"/>
      <c r="O210" s="43"/>
    </row>
    <row r="211" spans="3:15" x14ac:dyDescent="0.25">
      <c r="C211" s="38"/>
      <c r="D211" s="38"/>
      <c r="E211" s="37"/>
      <c r="F211" s="37"/>
      <c r="G211" s="37"/>
      <c r="H211" s="84"/>
      <c r="I211" s="85"/>
      <c r="J211" s="86"/>
      <c r="K211" s="47"/>
      <c r="L211" s="40"/>
      <c r="M211" s="40"/>
      <c r="N211" s="40"/>
      <c r="O211" s="43"/>
    </row>
    <row r="212" spans="3:15" x14ac:dyDescent="0.25">
      <c r="C212" s="38"/>
      <c r="D212" s="38"/>
      <c r="E212" s="37"/>
      <c r="F212" s="37"/>
      <c r="G212" s="37"/>
      <c r="H212" s="84"/>
      <c r="I212" s="85"/>
      <c r="J212" s="86"/>
      <c r="K212" s="47"/>
      <c r="L212" s="40"/>
      <c r="M212" s="40"/>
      <c r="N212" s="40"/>
      <c r="O212" s="43"/>
    </row>
    <row r="213" spans="3:15" x14ac:dyDescent="0.25">
      <c r="C213" s="38"/>
      <c r="D213" s="38"/>
      <c r="E213" s="37"/>
      <c r="F213" s="37"/>
      <c r="G213" s="37"/>
      <c r="H213" s="84"/>
      <c r="I213" s="85"/>
      <c r="J213" s="86"/>
      <c r="K213" s="47"/>
      <c r="L213" s="40"/>
      <c r="M213" s="40"/>
      <c r="N213" s="40"/>
      <c r="O213" s="43"/>
    </row>
    <row r="214" spans="3:15" x14ac:dyDescent="0.25">
      <c r="C214" s="38"/>
      <c r="D214" s="38"/>
      <c r="E214" s="37"/>
      <c r="F214" s="37"/>
      <c r="G214" s="37"/>
      <c r="H214" s="84"/>
      <c r="I214" s="85"/>
      <c r="J214" s="86"/>
      <c r="K214" s="47"/>
      <c r="L214" s="40"/>
      <c r="M214" s="40"/>
      <c r="N214" s="40"/>
      <c r="O214" s="43"/>
    </row>
    <row r="215" spans="3:15" x14ac:dyDescent="0.25">
      <c r="C215" s="38"/>
      <c r="D215" s="38"/>
      <c r="E215" s="37"/>
      <c r="F215" s="37"/>
      <c r="G215" s="37"/>
      <c r="H215" s="84"/>
      <c r="I215" s="85"/>
      <c r="J215" s="86"/>
      <c r="K215" s="47"/>
      <c r="L215" s="40"/>
      <c r="M215" s="40"/>
      <c r="N215" s="40"/>
      <c r="O215" s="43"/>
    </row>
    <row r="216" spans="3:15" x14ac:dyDescent="0.25">
      <c r="C216" s="38"/>
      <c r="D216" s="38"/>
      <c r="E216" s="37"/>
      <c r="F216" s="37"/>
      <c r="G216" s="37"/>
      <c r="H216" s="84"/>
      <c r="I216" s="85"/>
      <c r="J216" s="86"/>
      <c r="K216" s="47"/>
      <c r="L216" s="40"/>
      <c r="M216" s="40"/>
      <c r="N216" s="40"/>
      <c r="O216" s="43"/>
    </row>
    <row r="217" spans="3:15" x14ac:dyDescent="0.25">
      <c r="C217" s="38"/>
      <c r="D217" s="38"/>
      <c r="E217" s="37"/>
      <c r="F217" s="37"/>
      <c r="G217" s="37"/>
      <c r="H217" s="84"/>
      <c r="I217" s="85"/>
      <c r="J217" s="86"/>
      <c r="K217" s="47"/>
      <c r="L217" s="40"/>
      <c r="M217" s="40"/>
      <c r="N217" s="40"/>
      <c r="O217" s="43"/>
    </row>
    <row r="218" spans="3:15" x14ac:dyDescent="0.25">
      <c r="C218" s="38"/>
      <c r="D218" s="38"/>
      <c r="E218" s="37"/>
      <c r="F218" s="37"/>
      <c r="G218" s="37"/>
      <c r="H218" s="84"/>
      <c r="I218" s="85"/>
      <c r="J218" s="86"/>
      <c r="K218" s="47"/>
      <c r="L218" s="40"/>
      <c r="M218" s="40"/>
      <c r="N218" s="40"/>
      <c r="O218" s="43"/>
    </row>
    <row r="219" spans="3:15" x14ac:dyDescent="0.25">
      <c r="C219" s="38"/>
      <c r="D219" s="38"/>
      <c r="E219" s="37"/>
      <c r="F219" s="37"/>
      <c r="G219" s="37"/>
      <c r="H219" s="84"/>
      <c r="I219" s="85"/>
      <c r="J219" s="86"/>
      <c r="K219" s="47"/>
      <c r="L219" s="40"/>
      <c r="M219" s="40"/>
      <c r="N219" s="40"/>
      <c r="O219" s="43"/>
    </row>
    <row r="220" spans="3:15" x14ac:dyDescent="0.25">
      <c r="C220" s="38"/>
      <c r="D220" s="38"/>
      <c r="E220" s="37"/>
      <c r="F220" s="37"/>
      <c r="G220" s="37"/>
      <c r="H220" s="84"/>
      <c r="I220" s="85"/>
      <c r="J220" s="86"/>
      <c r="K220" s="47"/>
      <c r="L220" s="40"/>
      <c r="M220" s="40"/>
      <c r="N220" s="40"/>
      <c r="O220" s="43"/>
    </row>
    <row r="221" spans="3:15" x14ac:dyDescent="0.25">
      <c r="C221" s="38"/>
      <c r="D221" s="38"/>
      <c r="E221" s="37"/>
      <c r="F221" s="37"/>
      <c r="G221" s="37"/>
      <c r="H221" s="84"/>
      <c r="I221" s="85"/>
      <c r="J221" s="86"/>
      <c r="K221" s="47"/>
      <c r="L221" s="40"/>
      <c r="M221" s="40"/>
      <c r="N221" s="40"/>
      <c r="O221" s="43"/>
    </row>
    <row r="222" spans="3:15" x14ac:dyDescent="0.25">
      <c r="C222" s="38"/>
      <c r="D222" s="38"/>
      <c r="E222" s="37"/>
      <c r="F222" s="37"/>
      <c r="G222" s="37"/>
      <c r="H222" s="84"/>
      <c r="I222" s="85"/>
      <c r="J222" s="86"/>
      <c r="K222" s="47"/>
      <c r="L222" s="40"/>
      <c r="M222" s="40"/>
      <c r="N222" s="40"/>
      <c r="O222" s="43"/>
    </row>
    <row r="223" spans="3:15" x14ac:dyDescent="0.25">
      <c r="C223" s="38"/>
      <c r="D223" s="38"/>
      <c r="E223" s="37"/>
      <c r="F223" s="37"/>
      <c r="G223" s="37"/>
      <c r="H223" s="84"/>
      <c r="I223" s="85"/>
      <c r="J223" s="86"/>
      <c r="K223" s="47"/>
      <c r="L223" s="40"/>
      <c r="M223" s="40"/>
      <c r="N223" s="40"/>
      <c r="O223" s="43"/>
    </row>
    <row r="224" spans="3:15" x14ac:dyDescent="0.25">
      <c r="C224" s="38"/>
      <c r="D224" s="38"/>
      <c r="E224" s="37"/>
      <c r="F224" s="37"/>
      <c r="G224" s="37"/>
      <c r="H224" s="84"/>
      <c r="I224" s="85"/>
      <c r="J224" s="86"/>
      <c r="K224" s="47"/>
      <c r="L224" s="40"/>
      <c r="M224" s="40"/>
      <c r="N224" s="40"/>
      <c r="O224" s="43"/>
    </row>
    <row r="225" spans="3:15" x14ac:dyDescent="0.25">
      <c r="C225" s="38"/>
      <c r="D225" s="38"/>
      <c r="E225" s="37"/>
      <c r="F225" s="37"/>
      <c r="G225" s="37"/>
      <c r="H225" s="84"/>
      <c r="I225" s="85"/>
      <c r="J225" s="86"/>
      <c r="K225" s="47"/>
      <c r="L225" s="40"/>
      <c r="M225" s="40"/>
      <c r="N225" s="40"/>
      <c r="O225" s="43"/>
    </row>
    <row r="226" spans="3:15" x14ac:dyDescent="0.25">
      <c r="C226" s="38"/>
      <c r="D226" s="38"/>
      <c r="E226" s="37"/>
      <c r="F226" s="37"/>
      <c r="G226" s="37"/>
      <c r="H226" s="84"/>
      <c r="I226" s="85"/>
      <c r="J226" s="86"/>
      <c r="K226" s="47"/>
      <c r="L226" s="40"/>
      <c r="M226" s="40"/>
      <c r="N226" s="40"/>
      <c r="O226" s="43"/>
    </row>
    <row r="227" spans="3:15" x14ac:dyDescent="0.25">
      <c r="C227" s="38"/>
      <c r="D227" s="38"/>
      <c r="E227" s="37"/>
      <c r="F227" s="37"/>
      <c r="G227" s="37"/>
      <c r="H227" s="84"/>
      <c r="I227" s="85"/>
      <c r="J227" s="86"/>
      <c r="K227" s="47"/>
      <c r="L227" s="40"/>
      <c r="M227" s="40"/>
      <c r="N227" s="40"/>
      <c r="O227" s="43"/>
    </row>
    <row r="228" spans="3:15" x14ac:dyDescent="0.25">
      <c r="C228" s="38"/>
      <c r="D228" s="38"/>
      <c r="E228" s="37"/>
      <c r="F228" s="37"/>
      <c r="G228" s="37"/>
      <c r="H228" s="84"/>
      <c r="I228" s="85"/>
      <c r="J228" s="86"/>
      <c r="K228" s="47"/>
      <c r="L228" s="40"/>
      <c r="M228" s="40"/>
      <c r="N228" s="40"/>
      <c r="O228" s="43"/>
    </row>
    <row r="229" spans="3:15" x14ac:dyDescent="0.25">
      <c r="C229" s="38"/>
      <c r="D229" s="38"/>
      <c r="E229" s="37"/>
      <c r="F229" s="37"/>
      <c r="G229" s="37"/>
      <c r="H229" s="84"/>
      <c r="I229" s="85"/>
      <c r="J229" s="86"/>
      <c r="K229" s="47"/>
      <c r="L229" s="40"/>
      <c r="M229" s="40"/>
      <c r="N229" s="40"/>
      <c r="O229" s="43"/>
    </row>
    <row r="230" spans="3:15" x14ac:dyDescent="0.25">
      <c r="C230" s="38"/>
      <c r="D230" s="38"/>
      <c r="E230" s="37"/>
      <c r="F230" s="37"/>
      <c r="G230" s="37"/>
      <c r="H230" s="84"/>
      <c r="I230" s="85"/>
      <c r="J230" s="86"/>
      <c r="K230" s="47"/>
      <c r="L230" s="40"/>
      <c r="M230" s="40"/>
      <c r="N230" s="40"/>
      <c r="O230" s="43"/>
    </row>
    <row r="231" spans="3:15" x14ac:dyDescent="0.25">
      <c r="C231" s="38"/>
      <c r="D231" s="38"/>
      <c r="E231" s="37"/>
      <c r="F231" s="37"/>
      <c r="G231" s="37"/>
      <c r="H231" s="84"/>
      <c r="I231" s="85"/>
      <c r="J231" s="86"/>
      <c r="K231" s="47"/>
      <c r="L231" s="40"/>
      <c r="M231" s="40"/>
      <c r="N231" s="40"/>
      <c r="O231" s="43"/>
    </row>
    <row r="232" spans="3:15" x14ac:dyDescent="0.25">
      <c r="C232" s="38"/>
      <c r="D232" s="38"/>
      <c r="E232" s="37"/>
      <c r="F232" s="37"/>
      <c r="G232" s="37"/>
      <c r="H232" s="84"/>
      <c r="I232" s="85"/>
      <c r="J232" s="86"/>
      <c r="K232" s="47"/>
      <c r="L232" s="40"/>
      <c r="M232" s="40"/>
      <c r="N232" s="40"/>
      <c r="O232" s="43"/>
    </row>
    <row r="233" spans="3:15" x14ac:dyDescent="0.25">
      <c r="C233" s="38"/>
      <c r="D233" s="38"/>
      <c r="E233" s="37"/>
      <c r="F233" s="37"/>
      <c r="G233" s="37"/>
      <c r="H233" s="84"/>
      <c r="I233" s="85"/>
      <c r="J233" s="86"/>
      <c r="K233" s="47"/>
      <c r="L233" s="40"/>
      <c r="M233" s="40"/>
      <c r="N233" s="40"/>
      <c r="O233" s="43"/>
    </row>
    <row r="234" spans="3:15" x14ac:dyDescent="0.25">
      <c r="C234" s="38"/>
      <c r="D234" s="38"/>
      <c r="E234" s="37"/>
      <c r="F234" s="37"/>
      <c r="G234" s="37"/>
      <c r="H234" s="84"/>
      <c r="I234" s="85"/>
      <c r="J234" s="86"/>
      <c r="K234" s="47"/>
      <c r="L234" s="40"/>
      <c r="M234" s="40"/>
      <c r="N234" s="40"/>
      <c r="O234" s="43"/>
    </row>
    <row r="235" spans="3:15" x14ac:dyDescent="0.25">
      <c r="C235" s="38"/>
      <c r="D235" s="38"/>
      <c r="E235" s="37"/>
      <c r="F235" s="37"/>
      <c r="G235" s="37"/>
      <c r="H235" s="84"/>
      <c r="I235" s="85"/>
      <c r="J235" s="86"/>
      <c r="K235" s="47"/>
      <c r="L235" s="40"/>
      <c r="M235" s="40"/>
      <c r="N235" s="40"/>
      <c r="O235" s="43"/>
    </row>
    <row r="236" spans="3:15" x14ac:dyDescent="0.25">
      <c r="C236" s="38"/>
      <c r="D236" s="38"/>
      <c r="E236" s="37"/>
      <c r="F236" s="37"/>
      <c r="G236" s="37"/>
      <c r="H236" s="84"/>
      <c r="I236" s="85"/>
      <c r="J236" s="86"/>
      <c r="K236" s="47"/>
      <c r="L236" s="40"/>
      <c r="M236" s="40"/>
      <c r="N236" s="40"/>
      <c r="O236" s="43"/>
    </row>
    <row r="237" spans="3:15" x14ac:dyDescent="0.25">
      <c r="C237" s="38"/>
      <c r="D237" s="38"/>
      <c r="E237" s="37"/>
      <c r="F237" s="37"/>
      <c r="G237" s="37"/>
      <c r="H237" s="84"/>
      <c r="I237" s="85"/>
      <c r="J237" s="86"/>
      <c r="K237" s="47"/>
      <c r="L237" s="40"/>
      <c r="M237" s="40"/>
      <c r="N237" s="40"/>
      <c r="O237" s="43"/>
    </row>
    <row r="238" spans="3:15" x14ac:dyDescent="0.25">
      <c r="C238" s="38"/>
      <c r="D238" s="38"/>
      <c r="E238" s="37"/>
      <c r="F238" s="37"/>
      <c r="G238" s="37"/>
      <c r="H238" s="84"/>
      <c r="I238" s="85"/>
      <c r="J238" s="86"/>
      <c r="K238" s="47"/>
      <c r="L238" s="40"/>
      <c r="M238" s="40"/>
      <c r="N238" s="40"/>
      <c r="O238" s="43"/>
    </row>
    <row r="239" spans="3:15" x14ac:dyDescent="0.25">
      <c r="C239" s="38"/>
      <c r="D239" s="38"/>
      <c r="E239" s="37"/>
      <c r="F239" s="37"/>
      <c r="G239" s="37"/>
      <c r="H239" s="84"/>
      <c r="I239" s="85"/>
      <c r="J239" s="86"/>
      <c r="K239" s="47"/>
      <c r="L239" s="40"/>
      <c r="M239" s="40"/>
      <c r="N239" s="40"/>
      <c r="O239" s="43"/>
    </row>
    <row r="240" spans="3:15" x14ac:dyDescent="0.25">
      <c r="C240" s="38"/>
      <c r="D240" s="38"/>
      <c r="E240" s="37"/>
      <c r="F240" s="37"/>
      <c r="G240" s="37"/>
      <c r="H240" s="84"/>
      <c r="I240" s="85"/>
      <c r="J240" s="86"/>
      <c r="K240" s="47"/>
      <c r="L240" s="40"/>
      <c r="M240" s="40"/>
      <c r="N240" s="40"/>
      <c r="O240" s="43"/>
    </row>
    <row r="241" spans="3:15" x14ac:dyDescent="0.25">
      <c r="C241" s="38"/>
      <c r="D241" s="38"/>
      <c r="E241" s="37"/>
      <c r="F241" s="37"/>
      <c r="G241" s="37"/>
      <c r="H241" s="84"/>
      <c r="I241" s="85"/>
      <c r="J241" s="86"/>
      <c r="K241" s="47"/>
      <c r="L241" s="40"/>
      <c r="M241" s="40"/>
      <c r="N241" s="40"/>
      <c r="O241" s="43"/>
    </row>
    <row r="242" spans="3:15" x14ac:dyDescent="0.25">
      <c r="C242" s="38"/>
      <c r="D242" s="38"/>
      <c r="E242" s="37"/>
      <c r="F242" s="37"/>
      <c r="G242" s="37"/>
      <c r="H242" s="84"/>
      <c r="I242" s="85"/>
      <c r="J242" s="86"/>
      <c r="K242" s="47"/>
      <c r="L242" s="40"/>
      <c r="M242" s="40"/>
      <c r="N242" s="40"/>
      <c r="O242" s="43"/>
    </row>
    <row r="243" spans="3:15" x14ac:dyDescent="0.25">
      <c r="C243" s="38"/>
      <c r="D243" s="38"/>
      <c r="E243" s="37"/>
      <c r="F243" s="37"/>
      <c r="G243" s="37"/>
      <c r="H243" s="84"/>
      <c r="I243" s="85"/>
      <c r="J243" s="86"/>
      <c r="K243" s="47"/>
      <c r="L243" s="40"/>
      <c r="M243" s="40"/>
      <c r="N243" s="40"/>
      <c r="O243" s="43"/>
    </row>
    <row r="244" spans="3:15" x14ac:dyDescent="0.25">
      <c r="C244" s="38"/>
      <c r="D244" s="38"/>
      <c r="E244" s="37"/>
      <c r="F244" s="37"/>
      <c r="G244" s="37"/>
      <c r="H244" s="84"/>
      <c r="I244" s="85"/>
      <c r="J244" s="86"/>
      <c r="K244" s="47"/>
      <c r="L244" s="40"/>
      <c r="M244" s="40"/>
      <c r="N244" s="40"/>
      <c r="O244" s="43"/>
    </row>
    <row r="245" spans="3:15" x14ac:dyDescent="0.25">
      <c r="C245" s="38"/>
      <c r="D245" s="38"/>
      <c r="E245" s="37"/>
      <c r="F245" s="37"/>
      <c r="G245" s="37"/>
      <c r="H245" s="84"/>
      <c r="I245" s="85"/>
      <c r="J245" s="86"/>
      <c r="K245" s="47"/>
      <c r="L245" s="40"/>
      <c r="M245" s="40"/>
      <c r="N245" s="40"/>
    </row>
    <row r="246" spans="3:15" x14ac:dyDescent="0.25">
      <c r="C246" s="38"/>
      <c r="D246" s="38"/>
      <c r="E246" s="37"/>
      <c r="F246" s="37"/>
      <c r="G246" s="37"/>
      <c r="H246" s="84"/>
      <c r="I246" s="85"/>
      <c r="J246" s="86"/>
      <c r="K246" s="47"/>
      <c r="L246" s="40"/>
      <c r="M246" s="40"/>
      <c r="N246" s="40"/>
      <c r="O246" s="43"/>
    </row>
    <row r="247" spans="3:15" x14ac:dyDescent="0.25">
      <c r="C247" s="38"/>
      <c r="D247" s="38"/>
      <c r="E247" s="37"/>
      <c r="F247" s="37"/>
      <c r="G247" s="37"/>
      <c r="H247" s="84"/>
      <c r="I247" s="85"/>
      <c r="J247" s="86"/>
      <c r="K247" s="47"/>
      <c r="L247" s="40"/>
      <c r="M247" s="40"/>
      <c r="N247" s="40"/>
      <c r="O247" s="43"/>
    </row>
    <row r="248" spans="3:15" x14ac:dyDescent="0.25">
      <c r="C248" s="38"/>
      <c r="D248" s="38"/>
      <c r="E248" s="37"/>
      <c r="F248" s="37"/>
      <c r="G248" s="37"/>
      <c r="H248" s="84"/>
      <c r="I248" s="85"/>
      <c r="J248" s="86"/>
      <c r="K248" s="47"/>
      <c r="L248" s="40"/>
      <c r="M248" s="40"/>
      <c r="N248" s="40"/>
      <c r="O248" s="43"/>
    </row>
    <row r="249" spans="3:15" x14ac:dyDescent="0.25">
      <c r="C249" s="38"/>
      <c r="D249" s="38"/>
      <c r="E249" s="37"/>
      <c r="F249" s="37"/>
      <c r="G249" s="37"/>
      <c r="H249" s="84"/>
      <c r="I249" s="85"/>
      <c r="J249" s="86"/>
      <c r="K249" s="47"/>
      <c r="L249" s="40"/>
      <c r="M249" s="40"/>
      <c r="N249" s="40"/>
      <c r="O249" s="43"/>
    </row>
    <row r="250" spans="3:15" x14ac:dyDescent="0.25">
      <c r="C250" s="38"/>
      <c r="D250" s="38"/>
      <c r="E250" s="102"/>
      <c r="F250" s="37"/>
      <c r="G250" s="37"/>
      <c r="H250" s="84"/>
      <c r="I250" s="85"/>
      <c r="J250" s="86"/>
      <c r="K250" s="47"/>
      <c r="L250" s="40"/>
      <c r="M250" s="40"/>
      <c r="N250" s="40"/>
      <c r="O250" s="43"/>
    </row>
    <row r="251" spans="3:15" x14ac:dyDescent="0.25">
      <c r="C251" s="38"/>
      <c r="D251" s="38"/>
      <c r="E251" s="102"/>
      <c r="F251" s="37"/>
      <c r="G251" s="37"/>
      <c r="H251" s="84"/>
      <c r="I251" s="85"/>
      <c r="J251" s="86"/>
      <c r="K251" s="47"/>
      <c r="L251" s="40"/>
      <c r="M251" s="40"/>
      <c r="N251" s="40"/>
      <c r="O251" s="43"/>
    </row>
    <row r="252" spans="3:15" x14ac:dyDescent="0.25">
      <c r="C252" s="38"/>
      <c r="D252" s="38"/>
      <c r="E252" s="102"/>
      <c r="F252" s="37"/>
      <c r="G252" s="37"/>
      <c r="H252" s="84"/>
      <c r="I252" s="85"/>
      <c r="J252" s="86"/>
      <c r="K252" s="47"/>
      <c r="L252" s="40"/>
      <c r="M252" s="40"/>
      <c r="N252" s="40"/>
      <c r="O252" s="43"/>
    </row>
    <row r="253" spans="3:15" x14ac:dyDescent="0.25">
      <c r="C253" s="38"/>
      <c r="D253" s="38"/>
      <c r="E253" s="102"/>
      <c r="F253" s="37"/>
      <c r="G253" s="37"/>
      <c r="H253" s="84"/>
      <c r="I253" s="85"/>
      <c r="J253" s="86"/>
      <c r="K253" s="47"/>
      <c r="L253" s="40"/>
      <c r="M253" s="40"/>
      <c r="N253" s="40"/>
      <c r="O253" s="43"/>
    </row>
    <row r="254" spans="3:15" x14ac:dyDescent="0.25">
      <c r="C254" s="38"/>
      <c r="D254" s="38"/>
      <c r="E254" s="102"/>
      <c r="F254" s="37"/>
      <c r="G254" s="37"/>
      <c r="H254" s="84"/>
      <c r="I254" s="85"/>
      <c r="J254" s="86"/>
      <c r="K254" s="47"/>
      <c r="L254" s="40"/>
      <c r="M254" s="40"/>
      <c r="N254" s="40"/>
      <c r="O254" s="43"/>
    </row>
    <row r="255" spans="3:15" x14ac:dyDescent="0.25">
      <c r="C255" s="38"/>
      <c r="D255" s="38"/>
      <c r="E255" s="102"/>
      <c r="F255" s="37"/>
      <c r="G255" s="37"/>
      <c r="H255" s="84"/>
      <c r="I255" s="85"/>
      <c r="J255" s="86"/>
      <c r="K255" s="47"/>
      <c r="L255" s="40"/>
      <c r="M255" s="40"/>
      <c r="N255" s="40"/>
      <c r="O255" s="43"/>
    </row>
    <row r="256" spans="3:15" x14ac:dyDescent="0.25">
      <c r="C256" s="38"/>
      <c r="D256" s="38"/>
      <c r="E256" s="37"/>
      <c r="F256" s="37"/>
      <c r="G256" s="37"/>
      <c r="H256" s="84"/>
      <c r="I256" s="85"/>
      <c r="J256" s="86"/>
      <c r="K256" s="47"/>
      <c r="L256" s="40"/>
      <c r="M256" s="40"/>
      <c r="N256" s="40"/>
      <c r="O256" s="43"/>
    </row>
    <row r="258" spans="4:6" x14ac:dyDescent="0.25">
      <c r="D258" s="48" t="s">
        <v>114</v>
      </c>
    </row>
    <row r="259" spans="4:6" x14ac:dyDescent="0.25">
      <c r="D259" s="48" t="s">
        <v>115</v>
      </c>
    </row>
    <row r="267" spans="4:6" x14ac:dyDescent="0.25">
      <c r="F267" s="48" t="s">
        <v>116</v>
      </c>
    </row>
  </sheetData>
  <mergeCells count="1">
    <mergeCell ref="C1:I2"/>
  </mergeCells>
  <phoneticPr fontId="2" type="noConversion"/>
  <conditionalFormatting sqref="F12:F83 F83:G105 G12:G133">
    <cfRule type="expression" dxfId="101" priority="6">
      <formula>ISNA(MATCH(F12, INDIRECT(E12), 0))</formula>
    </cfRule>
  </conditionalFormatting>
  <conditionalFormatting sqref="H12:H133">
    <cfRule type="expression" dxfId="100" priority="5">
      <formula>E12="Income"</formula>
    </cfRule>
  </conditionalFormatting>
  <conditionalFormatting sqref="I12:I133">
    <cfRule type="expression" dxfId="99" priority="4">
      <formula>E12="Income"</formula>
    </cfRule>
  </conditionalFormatting>
  <conditionalFormatting sqref="J12:J133">
    <cfRule type="expression" dxfId="98" priority="2">
      <formula>E12="Income"</formula>
    </cfRule>
  </conditionalFormatting>
  <conditionalFormatting sqref="O12:O133">
    <cfRule type="expression" dxfId="97" priority="1">
      <formula>AND(E12="Income", Shift_Late_Income_Status="Active", DAY(C12)&gt;=Shift_Late_Income_Starting_Day)</formula>
    </cfRule>
  </conditionalFormatting>
  <dataValidations count="8">
    <dataValidation type="date" operator="greaterThan" allowBlank="1" showInputMessage="1" showErrorMessage="1" errorTitle="Invalid Date" error="Please enter a valid date." sqref="C12:C133" xr:uid="{BCA39D7D-3ADB-45B9-B5CF-13C4BDBD77D1}">
      <formula1>1</formula1>
    </dataValidation>
    <dataValidation type="list" allowBlank="1" showInputMessage="1" showErrorMessage="1" errorTitle="Invalid" error="Please select a valid type from the dropdown list." sqref="E12:E133" xr:uid="{05B0753E-EEA4-489B-85E5-6956111A1E91}">
      <formula1>"Income, Expenses, Savings, "</formula1>
    </dataValidation>
    <dataValidation type="custom" allowBlank="1" showInputMessage="1" showErrorMessage="1" errorTitle="Invalid Amount $" error="PLease enter a valid number" sqref="H12:H133" xr:uid="{A9275031-F155-4EFD-8DA0-28B73FB97C53}">
      <formula1>OR(ISNUMBER(H12), H12="")</formula1>
    </dataValidation>
    <dataValidation type="custom" allowBlank="1" showInputMessage="1" showErrorMessage="1" errorTitle="Invalid Amount LBP" error="PLease enter a valid number" sqref="I12:I133" xr:uid="{71A70C25-1643-4167-A899-8B9B4064B191}">
      <formula1>OR(ISNUMBER(I12), I12="")</formula1>
    </dataValidation>
    <dataValidation type="list" operator="greaterThan" allowBlank="1" showInputMessage="1" showErrorMessage="1" errorTitle="Invalid Payment Type" error="Please enter a valid payment type from the dropdown list." sqref="D12:D133" xr:uid="{A4EF9991-2DD2-412C-9E70-305C10729B4E}">
      <formula1>"Cash, Card"</formula1>
    </dataValidation>
    <dataValidation type="list" allowBlank="1" showInputMessage="1" showErrorMessage="1" errorTitle="Invalid Category" error="Please select a valid category from the dropdown list." sqref="F12:F133" xr:uid="{D5ED5A46-A3A3-4B3C-B1D9-CA6D36D91AE1}">
      <formula1>INDIRECT(E12)</formula1>
    </dataValidation>
    <dataValidation type="list" allowBlank="1" showInputMessage="1" showErrorMessage="1" errorTitle="Invalid Sub-Category" error="Please select a valid sub-category from the dropdown list." sqref="G12:G133" xr:uid="{DBDE0B32-2ED3-4250-869C-064CAFEAD61D}">
      <formula1>INDIRECT(F12)</formula1>
    </dataValidation>
    <dataValidation type="custom" allowBlank="1" showInputMessage="1" showErrorMessage="1" errorTitle="Invalid Amount €" error="PLease enter a valid number" sqref="J12:J133" xr:uid="{90D05063-B13C-4348-885F-BF0C7A63621F}">
      <formula1>OR(ISNUMBER(J12), J12="")</formula1>
    </dataValidation>
  </dataValidations>
  <pageMargins left="0.7" right="0.7" top="0.75" bottom="0.75" header="0.3" footer="0.3"/>
  <pageSetup scale="22" orientation="portrait" r:id="rId1"/>
  <drawing r:id="rId2"/>
  <legacyDrawing r:id="rId3"/>
  <controls>
    <mc:AlternateContent xmlns:mc="http://schemas.openxmlformats.org/markup-compatibility/2006">
      <mc:Choice Requires="x14">
        <control shapeId="6160" r:id="rId4" name="CommandButton1">
          <controlPr defaultSize="0" autoLine="0" r:id="rId5">
            <anchor moveWithCells="1">
              <from>
                <xdr:col>9</xdr:col>
                <xdr:colOff>647700</xdr:colOff>
                <xdr:row>257</xdr:row>
                <xdr:rowOff>85725</xdr:rowOff>
              </from>
              <to>
                <xdr:col>10</xdr:col>
                <xdr:colOff>1047750</xdr:colOff>
                <xdr:row>260</xdr:row>
                <xdr:rowOff>66675</xdr:rowOff>
              </to>
            </anchor>
          </controlPr>
        </control>
      </mc:Choice>
      <mc:Fallback>
        <control shapeId="6160" r:id="rId4" name="CommandButton1"/>
      </mc:Fallback>
    </mc:AlternateContent>
  </controls>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4E8B8-E80A-44D2-8F60-BC8643CEAA69}">
  <sheetPr codeName="Sheet4">
    <pageSetUpPr fitToPage="1"/>
  </sheetPr>
  <dimension ref="C1:AZ85"/>
  <sheetViews>
    <sheetView showGridLines="0" topLeftCell="A13" workbookViewId="0">
      <selection activeCell="AE25" sqref="AE25:AF25"/>
    </sheetView>
  </sheetViews>
  <sheetFormatPr defaultRowHeight="15" x14ac:dyDescent="0.25"/>
  <cols>
    <col min="1" max="2" width="2.140625" customWidth="1"/>
    <col min="3" max="3" width="9.140625" hidden="1" customWidth="1"/>
    <col min="4" max="4" width="11.7109375" hidden="1" customWidth="1"/>
    <col min="5" max="9" width="9.140625" hidden="1" customWidth="1"/>
    <col min="10" max="10" width="28.5703125" hidden="1" customWidth="1"/>
    <col min="11" max="11" width="9.140625" style="49" hidden="1" customWidth="1"/>
    <col min="12" max="12" width="9.7109375" style="49" hidden="1" customWidth="1"/>
    <col min="13" max="14" width="9.140625" style="49" hidden="1" customWidth="1"/>
    <col min="15" max="15" width="11.7109375" hidden="1" customWidth="1"/>
    <col min="16" max="16" width="12.140625" hidden="1" customWidth="1"/>
    <col min="17" max="17" width="12.7109375" hidden="1" customWidth="1"/>
    <col min="18" max="18" width="11.85546875" hidden="1" customWidth="1"/>
    <col min="19" max="19" width="14.42578125" hidden="1" customWidth="1"/>
    <col min="20" max="20" width="13.5703125" hidden="1" customWidth="1"/>
    <col min="21" max="21" width="12.7109375" hidden="1" customWidth="1"/>
    <col min="22" max="22" width="11.85546875" hidden="1" customWidth="1"/>
    <col min="23" max="23" width="12.42578125" hidden="1" customWidth="1"/>
    <col min="24" max="24" width="9.7109375" hidden="1" customWidth="1"/>
    <col min="25" max="27" width="17.140625" hidden="1" customWidth="1"/>
    <col min="28" max="28" width="21.85546875" hidden="1" customWidth="1"/>
    <col min="29" max="29" width="17.140625" hidden="1" customWidth="1"/>
    <col min="30" max="30" width="25" hidden="1" customWidth="1"/>
    <col min="31" max="31" width="35.7109375" style="66" customWidth="1"/>
    <col min="32" max="35" width="14.28515625" style="69" customWidth="1"/>
    <col min="36" max="36" width="10.7109375" style="67" customWidth="1"/>
    <col min="37" max="38" width="14.28515625" style="69" customWidth="1"/>
    <col min="39" max="39" width="5.7109375" customWidth="1"/>
    <col min="40" max="41" width="17.85546875" customWidth="1"/>
    <col min="42" max="42" width="2.140625" customWidth="1"/>
    <col min="43" max="43" width="20" customWidth="1"/>
    <col min="44" max="44" width="20.28515625" bestFit="1" customWidth="1"/>
    <col min="45" max="45" width="7.140625" customWidth="1"/>
    <col min="46" max="46" width="4.28515625" customWidth="1"/>
    <col min="47" max="48" width="17.85546875" customWidth="1"/>
    <col min="49" max="49" width="2.140625" customWidth="1"/>
    <col min="50" max="50" width="20" customWidth="1"/>
    <col min="51" max="51" width="20.28515625" bestFit="1" customWidth="1"/>
    <col min="52" max="52" width="7.140625" customWidth="1"/>
  </cols>
  <sheetData>
    <row r="1" spans="3:52" s="34" customFormat="1" ht="15" customHeight="1" x14ac:dyDescent="0.25">
      <c r="C1" s="110" t="str" cm="1">
        <f t="array" aca="1" ref="C1" ca="1">MID(CELL("filename", C7), FIND("]", CELL("filename", C7)) + 1, 255)</f>
        <v>Budget Dashboard</v>
      </c>
      <c r="D1" s="110"/>
      <c r="E1" s="110"/>
      <c r="F1" s="110"/>
      <c r="G1" s="110"/>
      <c r="H1" s="110"/>
    </row>
    <row r="2" spans="3:52" s="34" customFormat="1" ht="15" customHeight="1" x14ac:dyDescent="0.25">
      <c r="C2" s="110"/>
      <c r="D2" s="110"/>
      <c r="E2" s="110"/>
      <c r="F2" s="110"/>
      <c r="G2" s="110"/>
      <c r="H2" s="110"/>
      <c r="AE2" s="97"/>
    </row>
    <row r="3" spans="3:52" x14ac:dyDescent="0.25">
      <c r="K3"/>
      <c r="L3"/>
      <c r="M3"/>
      <c r="N3"/>
      <c r="AE3"/>
      <c r="AF3"/>
      <c r="AG3"/>
      <c r="AH3"/>
      <c r="AI3"/>
      <c r="AJ3"/>
      <c r="AK3"/>
      <c r="AL3" t="s">
        <v>117</v>
      </c>
    </row>
    <row r="4" spans="3:52" x14ac:dyDescent="0.25">
      <c r="K4"/>
      <c r="L4"/>
      <c r="M4"/>
      <c r="N4"/>
      <c r="AE4"/>
      <c r="AF4"/>
      <c r="AG4"/>
      <c r="AH4"/>
      <c r="AI4"/>
      <c r="AJ4"/>
      <c r="AK4"/>
      <c r="AL4" t="s">
        <v>118</v>
      </c>
    </row>
    <row r="5" spans="3:52" x14ac:dyDescent="0.25">
      <c r="K5"/>
      <c r="L5"/>
      <c r="M5"/>
      <c r="N5"/>
      <c r="AE5"/>
      <c r="AF5"/>
      <c r="AG5"/>
      <c r="AH5"/>
      <c r="AI5"/>
      <c r="AJ5"/>
      <c r="AK5"/>
      <c r="AL5"/>
      <c r="AY5" s="114" t="s">
        <v>119</v>
      </c>
      <c r="AZ5" s="115"/>
    </row>
    <row r="6" spans="3:52" x14ac:dyDescent="0.25">
      <c r="K6"/>
      <c r="L6"/>
      <c r="M6"/>
      <c r="N6"/>
      <c r="AE6"/>
      <c r="AF6"/>
      <c r="AG6"/>
      <c r="AH6"/>
      <c r="AI6"/>
      <c r="AJ6"/>
      <c r="AK6"/>
      <c r="AL6"/>
      <c r="AV6" s="117" t="s">
        <v>120</v>
      </c>
      <c r="AW6" s="117"/>
      <c r="AX6" s="117"/>
      <c r="AY6" s="116" t="s">
        <v>121</v>
      </c>
      <c r="AZ6" s="116"/>
    </row>
    <row r="7" spans="3:52" x14ac:dyDescent="0.25">
      <c r="K7"/>
      <c r="L7"/>
      <c r="M7"/>
      <c r="N7"/>
      <c r="AE7"/>
      <c r="AF7"/>
      <c r="AG7"/>
      <c r="AH7"/>
      <c r="AI7" t="s">
        <v>13</v>
      </c>
      <c r="AJ7"/>
      <c r="AK7"/>
      <c r="AL7"/>
    </row>
    <row r="8" spans="3:52" x14ac:dyDescent="0.25">
      <c r="K8"/>
      <c r="L8"/>
      <c r="M8"/>
      <c r="N8"/>
      <c r="AE8"/>
      <c r="AF8"/>
      <c r="AG8"/>
      <c r="AH8"/>
      <c r="AI8"/>
      <c r="AJ8"/>
      <c r="AK8"/>
      <c r="AL8"/>
      <c r="AY8" s="114" t="s">
        <v>122</v>
      </c>
      <c r="AZ8" s="115"/>
    </row>
    <row r="9" spans="3:52" x14ac:dyDescent="0.25">
      <c r="K9"/>
      <c r="L9"/>
      <c r="M9"/>
      <c r="N9"/>
      <c r="AE9"/>
      <c r="AF9"/>
      <c r="AG9"/>
      <c r="AH9"/>
      <c r="AI9"/>
      <c r="AJ9"/>
      <c r="AK9"/>
      <c r="AL9"/>
      <c r="AV9" s="117" t="s">
        <v>123</v>
      </c>
      <c r="AW9" s="117"/>
      <c r="AX9" s="117"/>
      <c r="AY9" s="118" t="s">
        <v>124</v>
      </c>
      <c r="AZ9" s="118"/>
    </row>
    <row r="10" spans="3:52" x14ac:dyDescent="0.25">
      <c r="K10"/>
      <c r="L10"/>
      <c r="M10"/>
      <c r="N10"/>
      <c r="AE10"/>
      <c r="AF10"/>
      <c r="AG10"/>
      <c r="AH10"/>
      <c r="AI10"/>
      <c r="AJ10"/>
      <c r="AK10"/>
      <c r="AL10"/>
    </row>
    <row r="11" spans="3:52" x14ac:dyDescent="0.25">
      <c r="C11" s="34"/>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113" t="str">
        <f ca="1">"Breakdown - "&amp;
IF(Selected_Period="Total Year",
Selected_Year &amp; " (Total Year)",
Selected_Period_Display &amp;" " &amp; Selected_Year)</f>
        <v>Breakdown - January 2026</v>
      </c>
      <c r="AF11" s="113"/>
      <c r="AG11" s="113"/>
      <c r="AH11" s="113"/>
      <c r="AI11" s="113"/>
      <c r="AJ11" s="113"/>
      <c r="AK11" s="113"/>
      <c r="AL11" s="113"/>
      <c r="AN11" s="113" t="str">
        <f ca="1">"Summary - "&amp;
IF(Selected_Period="Total Year",
Selected_Year &amp; " (Total Year)",
Selected_Period_Display &amp;" " &amp; Selected_Year)</f>
        <v>Summary - January 2026</v>
      </c>
      <c r="AO11" s="113"/>
      <c r="AP11" s="113"/>
      <c r="AQ11" s="113"/>
      <c r="AR11" s="113"/>
      <c r="AS11" s="113"/>
      <c r="AT11" s="113"/>
      <c r="AU11" s="113"/>
      <c r="AV11" s="113"/>
      <c r="AW11" s="113"/>
      <c r="AX11" s="113"/>
      <c r="AY11" s="113"/>
      <c r="AZ11" s="113"/>
    </row>
    <row r="12" spans="3:52" x14ac:dyDescent="0.25">
      <c r="C12" s="58" t="s">
        <v>125</v>
      </c>
      <c r="D12" s="59" t="s">
        <v>126</v>
      </c>
      <c r="E12" s="58" t="s">
        <v>127</v>
      </c>
      <c r="F12" s="57" t="s">
        <v>128</v>
      </c>
      <c r="G12" s="57" t="s">
        <v>129</v>
      </c>
      <c r="H12" s="59" t="s">
        <v>130</v>
      </c>
      <c r="I12" s="58" t="s">
        <v>55</v>
      </c>
      <c r="J12" s="57" t="s">
        <v>131</v>
      </c>
      <c r="K12" s="57" t="s">
        <v>132</v>
      </c>
      <c r="L12" s="57" t="s">
        <v>133</v>
      </c>
      <c r="M12" s="57" t="s">
        <v>134</v>
      </c>
      <c r="N12" s="59" t="s">
        <v>135</v>
      </c>
      <c r="O12" s="58" t="s">
        <v>136</v>
      </c>
      <c r="P12" s="59" t="s">
        <v>137</v>
      </c>
      <c r="Q12" s="58" t="s">
        <v>138</v>
      </c>
      <c r="R12" s="57" t="s">
        <v>139</v>
      </c>
      <c r="S12" s="57" t="s">
        <v>140</v>
      </c>
      <c r="T12" s="57" t="s">
        <v>141</v>
      </c>
      <c r="U12" s="57" t="s">
        <v>142</v>
      </c>
      <c r="V12" s="57" t="s">
        <v>143</v>
      </c>
      <c r="W12" s="57" t="s">
        <v>144</v>
      </c>
      <c r="X12" s="59" t="s">
        <v>145</v>
      </c>
      <c r="Y12" s="57" t="s">
        <v>146</v>
      </c>
      <c r="Z12" s="57" t="s">
        <v>147</v>
      </c>
      <c r="AA12" s="57" t="s">
        <v>148</v>
      </c>
      <c r="AB12" s="57" t="s">
        <v>149</v>
      </c>
      <c r="AC12" s="59" t="s">
        <v>150</v>
      </c>
      <c r="AD12" s="64" t="s">
        <v>151</v>
      </c>
      <c r="AE12"/>
      <c r="AF12"/>
      <c r="AG12"/>
      <c r="AH12"/>
      <c r="AI12"/>
      <c r="AJ12"/>
      <c r="AK12"/>
      <c r="AL12"/>
    </row>
    <row r="13" spans="3:52" x14ac:dyDescent="0.25">
      <c r="C13" s="2" cm="1">
        <f t="array" ref="C13">Income_Header_Row</f>
        <v>9</v>
      </c>
      <c r="D13" s="3">
        <f t="shared" ref="D13:D44" si="0">IF(IS_Header, Row_ID,
  IF(NOT(IS_Empty),D12,-1))</f>
        <v>9</v>
      </c>
      <c r="E13" s="2" cm="1">
        <f t="array" ref="E13">1*OR(Row_ID = Income_Header_Row, Row_ID = Expenses_Header_Row, Row_ID = Savings_Header_Row)</f>
        <v>1</v>
      </c>
      <c r="F13">
        <f t="shared" ref="F13:F44" si="1">1*NOT(OR(IS_Header, IS_Total, IS_Empty))</f>
        <v>0</v>
      </c>
      <c r="G13" cm="1">
        <f t="array" ref="G13">1*OR(Row_ID = Income_Total_Row, Row_ID = Expenses_Total_Row, Row_ID = Savings_Total_Row)</f>
        <v>0</v>
      </c>
      <c r="H13" s="3">
        <f t="shared" ref="H13:H44" si="2">1*OR(Row_ID = "/1", Row_ID = "/2", Row_ID = - 1)</f>
        <v>0</v>
      </c>
      <c r="I13" s="2" t="str" cm="1">
        <f t="array" ref="I13">IFERROR(INDEX('Budget Planning'!$C:$C, Header_Row_ID),"")</f>
        <v>Income</v>
      </c>
      <c r="J13" t="str" cm="1">
        <f t="array" ref="J13">IFERROR(INDEX('Budget Planning'!$C:$C, Row_ID),"")</f>
        <v>Income</v>
      </c>
      <c r="K13" s="62" t="str" cm="1">
        <f t="array" ref="K13">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13" s="62" t="str" cm="1">
        <f t="array" ref="L13">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13" s="62" t="str" cm="1">
        <f t="array" ref="M13">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13" s="63" t="str" cm="1">
        <f t="array" ref="N13">IF(OR(IS_Header,IS_Empty),"",
  INDEX('Budget Planning'!$E:$EM,Row_ID,
   MATCH(IF(Selected_Period = "Total Year", Selected_Year, DATE(Selected_Year,Selected_Period,1)),'Budget Planning'!$E$9:$CI$9,0) ))</f>
        <v/>
      </c>
      <c r="O13" s="2" t="str" cm="1">
        <f t="array" ref="O13">IF(IS_Cat,
  IF(Header_Row_ID = Income_Header_Row, MATCH(Income_Min_Row, $C:$C, 0),
   IF(Header_Row_ID = Expenses_Header_Row, MATCH(Expenses_Min_Row, $C:$C, 0),
    IF(Header_Row_ID = Savings_Header_Row, MATCH(Savings_Min_Row, $C:$C, 0),""))), "")</f>
        <v/>
      </c>
      <c r="P13" s="3" t="str" cm="1">
        <f t="array" ref="P13">IF(IS_Cat,
  IF(Header_Row_ID = Income_Header_Row, MATCH(Income_Max_Row, $C:$C, 0),
   IF(Header_Row_ID = Expenses_Header_Row, MATCH(Expenses_Max_Row, $C:$C, 0),
    IF(Header_Row_ID = Savings_Header_Row, MATCH(Savings_Max_Row, $C:$C, 0),""))), "")</f>
        <v/>
      </c>
      <c r="Q13" s="2" t="str">
        <f t="shared" ref="Q13:Q44" si="3">IF(IS_Cat, ADDRESS(Sort_Min_Row, COLUMN(Tracked_USD)) &amp; ":" &amp; ADDRESS(Sort_Max_Row, COLUMN(Tracked_USD)), "")</f>
        <v/>
      </c>
      <c r="R13" t="str">
        <f t="shared" ref="R13:R44" ca="1" si="4">IF(IS_Cat, RANK(Tracked_USD, INDIRECT(Tracked_USD_Range), 0), "")</f>
        <v/>
      </c>
      <c r="S13" t="str">
        <f t="shared" ref="S13:S44" si="5">IF(IS_Cat, ADDRESS(Sort_Min_Row, COLUMN(Tracked_LBP)) &amp; ":" &amp; ADDRESS(Sort_Max_Row, COLUMN(Tracked_LBP)), "")</f>
        <v/>
      </c>
      <c r="T13" t="str">
        <f t="shared" ref="T13:T44" ca="1" si="6">IF(IS_Cat, RANK(Tracked_LBP, INDIRECT(Tracked_LBP_Range), 0), "")</f>
        <v/>
      </c>
      <c r="U13" t="str">
        <f t="shared" ref="U13:U44" si="7">IF(IS_Cat, ADDRESS(Sort_Min_Row, COLUMN(Tracked_€)) &amp; ":" &amp; ADDRESS(Sort_Max_Row, COLUMN(Tracked_€)), "")</f>
        <v/>
      </c>
      <c r="V13" t="str">
        <f t="shared" ref="V13:V44" ca="1" si="8">IF(IS_Cat, RANK(Tracked_€, INDIRECT(Tracked_€_Range), 0), "")</f>
        <v/>
      </c>
      <c r="W13" t="str">
        <f t="shared" ref="W13:W44" si="9">IF(IS_Cat, ADDRESS(Sort_Min_Row, COLUMN(Budget)) &amp; ":" &amp; ADDRESS(Sort_Max_Row, COLUMN(Budget)), "")</f>
        <v/>
      </c>
      <c r="X13" s="3" t="str">
        <f t="shared" ref="X13:X44" ca="1" si="10">IF(IS_Cat, RANK(Budget, INDIRECT(Budget_Range),0),"")</f>
        <v/>
      </c>
      <c r="Y13" t="str">
        <f t="shared" ref="Y13:Y44" si="11">IF(IS_Cat, _xlfn.NUMBERVALUE(Tracked_USD_Rank &amp; Budget_Rank), "")</f>
        <v/>
      </c>
      <c r="Z13" t="str">
        <f t="shared" ref="Z13:Z44" si="12">IF(IS_Cat, ADDRESS(Sort_Min_Row, COLUMN(Comb_Rank)) &amp; ":" &amp; ADDRESS(Sort_Max_Row, COLUMN(Comb_Rank)), "")</f>
        <v/>
      </c>
      <c r="AA13" t="str">
        <f t="shared" ref="AA13:AA44" ca="1" si="13">IF(IS_Cat, RANK(Comb_Rank, INDIRECT(Comb_Rank_Range), 1), "")</f>
        <v/>
      </c>
      <c r="AB13" t="str">
        <f t="shared" ref="AB13:AB44" si="14">IF(IS_Cat, ADDRESS(Sort_Min_Row, COLUMN(Comb_Rank_Norm)) &amp; ":" &amp; ADDRESS(ROW(), COLUMN(Comb_Rank_Norm)), "")</f>
        <v/>
      </c>
      <c r="AC13" s="3" t="str">
        <f t="shared" ref="AC13:AC44" ca="1" si="15">IF(IS_Cat, Comb_Rank_Norm + COUNTIF(INDIRECT(Comb_Rank_Norm_Run_Range), Comb_Rank_Norm)-1,"")</f>
        <v/>
      </c>
      <c r="AD13" s="65">
        <f>IF(IS_Cat, Header_Row_ID + Comb_Rank_Unique, Row_ID)</f>
        <v>9</v>
      </c>
      <c r="AE13" s="66" t="str">
        <f t="shared" ref="AE13:AE44" si="16">IF(IS_Empty, "", INDEX($J:$J, MATCH(Row_ID, $AD:$AD, 0)))</f>
        <v>Income</v>
      </c>
      <c r="AF13" s="69" t="str">
        <f t="shared" ref="AF13:AF44" si="17">IF(IS_Empty, "", IF(IS_Header, "Tracked $", INDEX($K:$K, MATCH(Row_ID, $AD:$AD, 0))))</f>
        <v>Tracked $</v>
      </c>
      <c r="AG13" s="69" t="str">
        <f t="shared" ref="AG13:AG44" si="18">IF(IS_Empty, "", IF(IS_Header, "Tracked LBP", INDEX($L:$L, MATCH(Row_ID, $AD:$AD, 0))))</f>
        <v>Tracked LBP</v>
      </c>
      <c r="AH13" s="69" t="str">
        <f t="shared" ref="AH13:AH44" si="19">IF(IS_Empty, "", IF(IS_Header, "Tracked €", INDEX($M:$M, MATCH(Row_ID, $AD:$AD, 0))))</f>
        <v>Tracked €</v>
      </c>
      <c r="AI13" s="69" t="str">
        <f t="shared" ref="AI13:AI44" si="20">IF(IS_Empty, "", IF(IS_Header, "Budget", INDEX($N:$N, MATCH(Row_ID, $AD:$AD, 0))))</f>
        <v>Budget</v>
      </c>
      <c r="AJ13" s="68" t="str">
        <f t="shared" ref="AJ13:AJ44" si="21">IF(IS_Empty, "", IF(IS_Header, "% Compl.", IFERROR(Out_Tracked_USD/ Out_Budget, "-")))</f>
        <v>% Compl.</v>
      </c>
      <c r="AK13" s="69" t="str">
        <f t="shared" ref="AK13:AK44" si="22">IF(IS_Empty, "", IF(IS_Header, "Remaining", IF(Out_Budget - Out_Tracked_USD &gt; 0, Out_Budget - Out_Tracked_USD, 0)))</f>
        <v>Remaining</v>
      </c>
      <c r="AL13" s="69" t="str">
        <f t="shared" ref="AL13:AL44" si="23">IF(IS_Empty, "", IF(IS_Header, "Excess", IF(Out_Budget - Out_Tracked_USD &lt; 0, Out_Tracked_USD - Out_Budget, 0)))</f>
        <v>Excess</v>
      </c>
      <c r="AN13" s="70"/>
      <c r="AO13" s="71"/>
      <c r="AP13" s="71"/>
      <c r="AQ13" s="71"/>
      <c r="AR13" s="71"/>
      <c r="AS13" s="72"/>
      <c r="AU13" s="70"/>
      <c r="AV13" s="71"/>
      <c r="AW13" s="71"/>
      <c r="AX13" s="71"/>
      <c r="AY13" s="71"/>
      <c r="AZ13" s="72"/>
    </row>
    <row r="14" spans="3:52" x14ac:dyDescent="0.25">
      <c r="C14" s="2" cm="1">
        <f t="array" ref="C14">IF(C13 = -1, -1,
 IF(C13 &lt; Income_Max_Row, C13+1,
  IF(C13 = Income_Max_Row, Income_Total_Row,
   IF(C13 = Income_Total_Row, "/1",
    IF(C13 = "/1", Expenses_Header_Row,
     IF(C13 &lt; Expenses_Max_Row, C13+1,
      IF(C13 = Expenses_Max_Row, Expenses_Total_Row,
       IF(C13 = Expenses_Total_Row, "/2",
        IF(C13 = "/2", Savings_Header_Row,
         IF(C13 &lt; Savings_Max_Row, C13+1,
          IF(C13 = Savings_Max_Row, Savings_Total_Row, -1)))))))))))</f>
        <v>10</v>
      </c>
      <c r="D14" s="3">
        <f t="shared" si="0"/>
        <v>9</v>
      </c>
      <c r="E14" s="2" cm="1">
        <f t="array" ref="E14">1*OR(Row_ID = Income_Header_Row, Row_ID = Expenses_Header_Row, Row_ID = Savings_Header_Row)</f>
        <v>0</v>
      </c>
      <c r="F14">
        <f t="shared" si="1"/>
        <v>1</v>
      </c>
      <c r="G14" cm="1">
        <f t="array" ref="G14">1*OR(Row_ID = Income_Total_Row, Row_ID = Expenses_Total_Row, Row_ID = Savings_Total_Row)</f>
        <v>0</v>
      </c>
      <c r="H14" s="3">
        <f t="shared" si="2"/>
        <v>0</v>
      </c>
      <c r="I14" s="2" t="str" cm="1">
        <f t="array" ref="I14">IFERROR(INDEX('Budget Planning'!$C:$C, Header_Row_ID),"")</f>
        <v>Income</v>
      </c>
      <c r="J14" t="str" cm="1">
        <f t="array" ref="J14">IFERROR(INDEX('Budget Planning'!$C:$C, Row_ID),"")</f>
        <v>E-Commerce Business</v>
      </c>
      <c r="K14" s="62" cm="1">
        <f t="array" aca="1" ref="K14"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14" s="62" cm="1">
        <f t="array" aca="1" ref="L14"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14" s="62" cm="1">
        <f t="array" aca="1" ref="M14"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14" s="63" cm="1">
        <f t="array" aca="1" ref="N14" ca="1">IF(OR(IS_Header,IS_Empty),"",
  INDEX('Budget Planning'!$E:$EM,Row_ID,
   MATCH(IF(Selected_Period = "Total Year", Selected_Year, DATE(Selected_Year,Selected_Period,1)),'Budget Planning'!$E$9:$CI$9,0) ))</f>
        <v>0</v>
      </c>
      <c r="O14" s="2" cm="1">
        <f t="array" aca="1" ref="O14" ca="1">IF(IS_Cat,
  IF(Header_Row_ID = Income_Header_Row, MATCH(Income_Min_Row, $C:$C, 0),
   IF(Header_Row_ID = Expenses_Header_Row, MATCH(Expenses_Min_Row, $C:$C, 0),
    IF(Header_Row_ID = Savings_Header_Row, MATCH(Savings_Min_Row, $C:$C, 0),""))), "")</f>
        <v>14</v>
      </c>
      <c r="P14" s="3" cm="1">
        <f t="array" aca="1" ref="P14" ca="1">IF(IS_Cat,
  IF(Header_Row_ID = Income_Header_Row, MATCH(Income_Max_Row, $C:$C, 0),
   IF(Header_Row_ID = Expenses_Header_Row, MATCH(Expenses_Max_Row, $C:$C, 0),
    IF(Header_Row_ID = Savings_Header_Row, MATCH(Savings_Max_Row, $C:$C, 0),""))), "")</f>
        <v>16</v>
      </c>
      <c r="Q14" s="2" t="str">
        <f t="shared" ca="1" si="3"/>
        <v>$K$14:$K$16</v>
      </c>
      <c r="R14">
        <f t="shared" ca="1" si="4"/>
        <v>1</v>
      </c>
      <c r="S14" t="str">
        <f t="shared" ca="1" si="5"/>
        <v>$L$14:$L$16</v>
      </c>
      <c r="T14">
        <f t="shared" ca="1" si="6"/>
        <v>1</v>
      </c>
      <c r="U14" t="str">
        <f t="shared" ca="1" si="7"/>
        <v>$M$14:$M$16</v>
      </c>
      <c r="V14">
        <f t="shared" ca="1" si="8"/>
        <v>1</v>
      </c>
      <c r="W14" t="str">
        <f t="shared" ca="1" si="9"/>
        <v>$N$14:$N$16</v>
      </c>
      <c r="X14" s="3">
        <f t="shared" ca="1" si="10"/>
        <v>1</v>
      </c>
      <c r="Y14">
        <f t="shared" ca="1" si="11"/>
        <v>11</v>
      </c>
      <c r="Z14" t="str">
        <f t="shared" ca="1" si="12"/>
        <v>$Y$14:$Y$16</v>
      </c>
      <c r="AA14">
        <f t="shared" ca="1" si="13"/>
        <v>1</v>
      </c>
      <c r="AB14" t="str">
        <f t="shared" ca="1" si="14"/>
        <v>$AA$14:$AA$14</v>
      </c>
      <c r="AC14" s="3">
        <f t="shared" ca="1" si="15"/>
        <v>1</v>
      </c>
      <c r="AD14" s="65">
        <f t="shared" ref="AD14:AD44" ca="1" si="24">IF(IS_Cat, Header_Row_ID + Comb_Rank_Unique, Row_ID)</f>
        <v>10</v>
      </c>
      <c r="AE14" s="66" t="str">
        <f t="shared" ca="1" si="16"/>
        <v>E-Commerce Business</v>
      </c>
      <c r="AF14" s="69">
        <f t="shared" ca="1" si="17"/>
        <v>0</v>
      </c>
      <c r="AG14" s="69">
        <f t="shared" ca="1" si="18"/>
        <v>0</v>
      </c>
      <c r="AH14" s="69">
        <f t="shared" ca="1" si="19"/>
        <v>0</v>
      </c>
      <c r="AI14" s="69">
        <f t="shared" ca="1" si="20"/>
        <v>0</v>
      </c>
      <c r="AJ14" s="68" t="str">
        <f t="shared" ca="1" si="21"/>
        <v>-</v>
      </c>
      <c r="AK14" s="69">
        <f t="shared" ca="1" si="22"/>
        <v>0</v>
      </c>
      <c r="AL14" s="69">
        <f t="shared" ca="1" si="23"/>
        <v>0</v>
      </c>
      <c r="AN14" s="2"/>
      <c r="AS14" s="3"/>
      <c r="AU14" s="2"/>
      <c r="AZ14" s="3"/>
    </row>
    <row r="15" spans="3:52" x14ac:dyDescent="0.25">
      <c r="C15" s="2" cm="1">
        <f t="array" ref="C15">IF(C14 = -1, -1,
 IF(C14 &lt; Income_Max_Row, C14+1,
  IF(C14 = Income_Max_Row, Income_Total_Row,
   IF(C14 = Income_Total_Row, "/1",
    IF(C14 = "/1", Expenses_Header_Row,
     IF(C14 &lt; Expenses_Max_Row, C14+1,
      IF(C14 = Expenses_Max_Row, Expenses_Total_Row,
       IF(C14 = Expenses_Total_Row, "/2",
        IF(C14 = "/2", Savings_Header_Row,
         IF(C14 &lt; Savings_Max_Row, C14+1,
          IF(C14 = Savings_Max_Row, Savings_Total_Row, -1)))))))))))</f>
        <v>11</v>
      </c>
      <c r="D15" s="3">
        <f t="shared" si="0"/>
        <v>9</v>
      </c>
      <c r="E15" s="2" cm="1">
        <f t="array" ref="E15">1*OR(Row_ID = Income_Header_Row, Row_ID = Expenses_Header_Row, Row_ID = Savings_Header_Row)</f>
        <v>0</v>
      </c>
      <c r="F15">
        <f t="shared" si="1"/>
        <v>1</v>
      </c>
      <c r="G15" cm="1">
        <f t="array" ref="G15">1*OR(Row_ID = Income_Total_Row, Row_ID = Expenses_Total_Row, Row_ID = Savings_Total_Row)</f>
        <v>0</v>
      </c>
      <c r="H15" s="3">
        <f t="shared" si="2"/>
        <v>0</v>
      </c>
      <c r="I15" s="2" t="str" cm="1">
        <f t="array" ref="I15">IFERROR(INDEX('Budget Planning'!$C:$C, Header_Row_ID),"")</f>
        <v>Income</v>
      </c>
      <c r="J15" t="str" cm="1">
        <f t="array" ref="J15">IFERROR(INDEX('Budget Planning'!$C:$C, Row_ID),"")</f>
        <v>WoodWork</v>
      </c>
      <c r="K15" s="62" cm="1">
        <f t="array" aca="1" ref="K15"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15" s="62" cm="1">
        <f t="array" aca="1" ref="L15"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15" s="62" cm="1">
        <f t="array" aca="1" ref="M15"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15" s="63" cm="1">
        <f t="array" aca="1" ref="N15" ca="1">IF(OR(IS_Header,IS_Empty),"",
  INDEX('Budget Planning'!$E:$EM,Row_ID,
   MATCH(IF(Selected_Period = "Total Year", Selected_Year, DATE(Selected_Year,Selected_Period,1)),'Budget Planning'!$E$9:$CI$9,0) ))</f>
        <v>0</v>
      </c>
      <c r="O15" s="2" cm="1">
        <f t="array" aca="1" ref="O15" ca="1">IF(IS_Cat,
  IF(Header_Row_ID = Income_Header_Row, MATCH(Income_Min_Row, $C:$C, 0),
   IF(Header_Row_ID = Expenses_Header_Row, MATCH(Expenses_Min_Row, $C:$C, 0),
    IF(Header_Row_ID = Savings_Header_Row, MATCH(Savings_Min_Row, $C:$C, 0),""))), "")</f>
        <v>14</v>
      </c>
      <c r="P15" s="3" cm="1">
        <f t="array" aca="1" ref="P15" ca="1">IF(IS_Cat,
  IF(Header_Row_ID = Income_Header_Row, MATCH(Income_Max_Row, $C:$C, 0),
   IF(Header_Row_ID = Expenses_Header_Row, MATCH(Expenses_Max_Row, $C:$C, 0),
    IF(Header_Row_ID = Savings_Header_Row, MATCH(Savings_Max_Row, $C:$C, 0),""))), "")</f>
        <v>16</v>
      </c>
      <c r="Q15" s="2" t="str">
        <f t="shared" ca="1" si="3"/>
        <v>$K$14:$K$16</v>
      </c>
      <c r="R15">
        <f t="shared" ca="1" si="4"/>
        <v>1</v>
      </c>
      <c r="S15" t="str">
        <f t="shared" ca="1" si="5"/>
        <v>$L$14:$L$16</v>
      </c>
      <c r="T15">
        <f t="shared" ca="1" si="6"/>
        <v>1</v>
      </c>
      <c r="U15" t="str">
        <f t="shared" ca="1" si="7"/>
        <v>$M$14:$M$16</v>
      </c>
      <c r="V15">
        <f t="shared" ca="1" si="8"/>
        <v>1</v>
      </c>
      <c r="W15" t="str">
        <f t="shared" ca="1" si="9"/>
        <v>$N$14:$N$16</v>
      </c>
      <c r="X15" s="3">
        <f t="shared" ca="1" si="10"/>
        <v>1</v>
      </c>
      <c r="Y15">
        <f t="shared" ca="1" si="11"/>
        <v>11</v>
      </c>
      <c r="Z15" t="str">
        <f t="shared" ca="1" si="12"/>
        <v>$Y$14:$Y$16</v>
      </c>
      <c r="AA15">
        <f t="shared" ca="1" si="13"/>
        <v>1</v>
      </c>
      <c r="AB15" t="str">
        <f t="shared" ca="1" si="14"/>
        <v>$AA$14:$AA$15</v>
      </c>
      <c r="AC15" s="3">
        <f t="shared" ca="1" si="15"/>
        <v>2</v>
      </c>
      <c r="AD15" s="65">
        <f t="shared" ca="1" si="24"/>
        <v>11</v>
      </c>
      <c r="AE15" s="66" t="str">
        <f t="shared" ca="1" si="16"/>
        <v>WoodWork</v>
      </c>
      <c r="AF15" s="69">
        <f t="shared" ca="1" si="17"/>
        <v>0</v>
      </c>
      <c r="AG15" s="69">
        <f t="shared" ca="1" si="18"/>
        <v>0</v>
      </c>
      <c r="AH15" s="69">
        <f t="shared" ca="1" si="19"/>
        <v>0</v>
      </c>
      <c r="AI15" s="69">
        <f t="shared" ca="1" si="20"/>
        <v>0</v>
      </c>
      <c r="AJ15" s="68" t="str">
        <f t="shared" ca="1" si="21"/>
        <v>-</v>
      </c>
      <c r="AK15" s="69">
        <f t="shared" ca="1" si="22"/>
        <v>0</v>
      </c>
      <c r="AL15" s="69">
        <f t="shared" ca="1" si="23"/>
        <v>0</v>
      </c>
      <c r="AN15" s="2"/>
      <c r="AS15" s="3"/>
      <c r="AU15" s="2"/>
      <c r="AZ15" s="3"/>
    </row>
    <row r="16" spans="3:52" x14ac:dyDescent="0.25">
      <c r="C16" s="2" cm="1">
        <f t="array" ref="C16">IF(C15 = -1, -1,
 IF(C15 &lt; Income_Max_Row, C15+1,
  IF(C15 = Income_Max_Row, Income_Total_Row,
   IF(C15 = Income_Total_Row, "/1",
    IF(C15 = "/1", Expenses_Header_Row,
     IF(C15 &lt; Expenses_Max_Row, C15+1,
      IF(C15 = Expenses_Max_Row, Expenses_Total_Row,
       IF(C15 = Expenses_Total_Row, "/2",
        IF(C15 = "/2", Savings_Header_Row,
         IF(C15 &lt; Savings_Max_Row, C15+1,
          IF(C15 = Savings_Max_Row, Savings_Total_Row, -1)))))))))))</f>
        <v>12</v>
      </c>
      <c r="D16" s="3">
        <f t="shared" si="0"/>
        <v>9</v>
      </c>
      <c r="E16" s="2" cm="1">
        <f t="array" ref="E16">1*OR(Row_ID = Income_Header_Row, Row_ID = Expenses_Header_Row, Row_ID = Savings_Header_Row)</f>
        <v>0</v>
      </c>
      <c r="F16">
        <f t="shared" si="1"/>
        <v>1</v>
      </c>
      <c r="G16" cm="1">
        <f t="array" ref="G16">1*OR(Row_ID = Income_Total_Row, Row_ID = Expenses_Total_Row, Row_ID = Savings_Total_Row)</f>
        <v>0</v>
      </c>
      <c r="H16" s="3">
        <f t="shared" si="2"/>
        <v>0</v>
      </c>
      <c r="I16" s="2" t="str" cm="1">
        <f t="array" ref="I16">IFERROR(INDEX('Budget Planning'!$C:$C, Header_Row_ID),"")</f>
        <v>Income</v>
      </c>
      <c r="J16" t="str" cm="1">
        <f t="array" ref="J16">IFERROR(INDEX('Budget Planning'!$C:$C, Row_ID),"")</f>
        <v>RCG INTERNATIONAL</v>
      </c>
      <c r="K16" s="62" cm="1">
        <f t="array" aca="1" ref="K16"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16" s="62" cm="1">
        <f t="array" aca="1" ref="L16"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16" s="62" cm="1">
        <f t="array" aca="1" ref="M16"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16" s="63" cm="1">
        <f t="array" aca="1" ref="N16" ca="1">IF(OR(IS_Header,IS_Empty),"",
  INDEX('Budget Planning'!$E:$EM,Row_ID,
   MATCH(IF(Selected_Period = "Total Year", Selected_Year, DATE(Selected_Year,Selected_Period,1)),'Budget Planning'!$E$9:$CI$9,0) ))</f>
        <v>0</v>
      </c>
      <c r="O16" s="2" cm="1">
        <f t="array" aca="1" ref="O16" ca="1">IF(IS_Cat,
  IF(Header_Row_ID = Income_Header_Row, MATCH(Income_Min_Row, $C:$C, 0),
   IF(Header_Row_ID = Expenses_Header_Row, MATCH(Expenses_Min_Row, $C:$C, 0),
    IF(Header_Row_ID = Savings_Header_Row, MATCH(Savings_Min_Row, $C:$C, 0),""))), "")</f>
        <v>14</v>
      </c>
      <c r="P16" s="3" cm="1">
        <f t="array" aca="1" ref="P16" ca="1">IF(IS_Cat,
  IF(Header_Row_ID = Income_Header_Row, MATCH(Income_Max_Row, $C:$C, 0),
   IF(Header_Row_ID = Expenses_Header_Row, MATCH(Expenses_Max_Row, $C:$C, 0),
    IF(Header_Row_ID = Savings_Header_Row, MATCH(Savings_Max_Row, $C:$C, 0),""))), "")</f>
        <v>16</v>
      </c>
      <c r="Q16" s="2" t="str">
        <f t="shared" ca="1" si="3"/>
        <v>$K$14:$K$16</v>
      </c>
      <c r="R16">
        <f t="shared" ca="1" si="4"/>
        <v>1</v>
      </c>
      <c r="S16" t="str">
        <f t="shared" ca="1" si="5"/>
        <v>$L$14:$L$16</v>
      </c>
      <c r="T16">
        <f t="shared" ca="1" si="6"/>
        <v>1</v>
      </c>
      <c r="U16" t="str">
        <f t="shared" ca="1" si="7"/>
        <v>$M$14:$M$16</v>
      </c>
      <c r="V16">
        <f t="shared" ca="1" si="8"/>
        <v>1</v>
      </c>
      <c r="W16" t="str">
        <f t="shared" ca="1" si="9"/>
        <v>$N$14:$N$16</v>
      </c>
      <c r="X16" s="3">
        <f t="shared" ca="1" si="10"/>
        <v>1</v>
      </c>
      <c r="Y16">
        <f t="shared" ca="1" si="11"/>
        <v>11</v>
      </c>
      <c r="Z16" t="str">
        <f t="shared" ca="1" si="12"/>
        <v>$Y$14:$Y$16</v>
      </c>
      <c r="AA16">
        <f t="shared" ca="1" si="13"/>
        <v>1</v>
      </c>
      <c r="AB16" t="str">
        <f t="shared" ca="1" si="14"/>
        <v>$AA$14:$AA$16</v>
      </c>
      <c r="AC16" s="3">
        <f t="shared" ca="1" si="15"/>
        <v>3</v>
      </c>
      <c r="AD16" s="65">
        <f t="shared" ca="1" si="24"/>
        <v>12</v>
      </c>
      <c r="AE16" s="66" t="str">
        <f t="shared" ca="1" si="16"/>
        <v>RCG INTERNATIONAL</v>
      </c>
      <c r="AF16" s="69">
        <f t="shared" ca="1" si="17"/>
        <v>0</v>
      </c>
      <c r="AG16" s="69">
        <f t="shared" ca="1" si="18"/>
        <v>0</v>
      </c>
      <c r="AH16" s="69">
        <f t="shared" ca="1" si="19"/>
        <v>0</v>
      </c>
      <c r="AI16" s="69">
        <f t="shared" ca="1" si="20"/>
        <v>0</v>
      </c>
      <c r="AJ16" s="68" t="str">
        <f t="shared" ca="1" si="21"/>
        <v>-</v>
      </c>
      <c r="AK16" s="69">
        <f t="shared" ca="1" si="22"/>
        <v>0</v>
      </c>
      <c r="AL16" s="69">
        <f t="shared" ca="1" si="23"/>
        <v>0</v>
      </c>
      <c r="AN16" s="2"/>
      <c r="AQ16" s="81" t="str">
        <f ca="1">Calculations!E39</f>
        <v/>
      </c>
      <c r="AR16" s="88" t="str">
        <f ca="1">Calculations!F39 &amp; " $ ,   " &amp; Calculations!G39 &amp;" LBP ,   " &amp; Calculations!H39 &amp;" €"</f>
        <v xml:space="preserve"> $ ,    LBP ,    €</v>
      </c>
      <c r="AS16" s="3"/>
      <c r="AU16" s="2"/>
      <c r="AZ16" s="3"/>
    </row>
    <row r="17" spans="3:52" x14ac:dyDescent="0.25">
      <c r="C17" s="2" cm="1">
        <f t="array" ref="C17">IF(C16 = -1, -1,
 IF(C16 &lt; Income_Max_Row, C16+1,
  IF(C16 = Income_Max_Row, Income_Total_Row,
   IF(C16 = Income_Total_Row, "/1",
    IF(C16 = "/1", Expenses_Header_Row,
     IF(C16 &lt; Expenses_Max_Row, C16+1,
      IF(C16 = Expenses_Max_Row, Expenses_Total_Row,
       IF(C16 = Expenses_Total_Row, "/2",
        IF(C16 = "/2", Savings_Header_Row,
         IF(C16 &lt; Savings_Max_Row, C16+1,
          IF(C16 = Savings_Max_Row, Savings_Total_Row, -1)))))))))))</f>
        <v>20</v>
      </c>
      <c r="D17" s="3">
        <f t="shared" si="0"/>
        <v>9</v>
      </c>
      <c r="E17" s="2" cm="1">
        <f t="array" ref="E17">1*OR(Row_ID = Income_Header_Row, Row_ID = Expenses_Header_Row, Row_ID = Savings_Header_Row)</f>
        <v>0</v>
      </c>
      <c r="F17">
        <f t="shared" si="1"/>
        <v>0</v>
      </c>
      <c r="G17" cm="1">
        <f t="array" ref="G17">1*OR(Row_ID = Income_Total_Row, Row_ID = Expenses_Total_Row, Row_ID = Savings_Total_Row)</f>
        <v>1</v>
      </c>
      <c r="H17" s="3">
        <f t="shared" si="2"/>
        <v>0</v>
      </c>
      <c r="I17" s="2" t="str" cm="1">
        <f t="array" ref="I17">IFERROR(INDEX('Budget Planning'!$C:$C, Header_Row_ID),"")</f>
        <v>Income</v>
      </c>
      <c r="J17" t="str" cm="1">
        <f t="array" ref="J17">IFERROR(INDEX('Budget Planning'!$C:$C, Row_ID),"")</f>
        <v>Total</v>
      </c>
      <c r="K17" s="62" cm="1">
        <f t="array" aca="1" ref="K17"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17" s="62" cm="1">
        <f t="array" aca="1" ref="L17"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17" s="62" cm="1">
        <f t="array" aca="1" ref="M17"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17" s="63" cm="1">
        <f t="array" aca="1" ref="N17" ca="1">IF(OR(IS_Header,IS_Empty),"",
  INDEX('Budget Planning'!$E:$EM,Row_ID,
   MATCH(IF(Selected_Period = "Total Year", Selected_Year, DATE(Selected_Year,Selected_Period,1)),'Budget Planning'!$E$9:$CI$9,0) ))</f>
        <v>0</v>
      </c>
      <c r="O17" s="2" t="str" cm="1">
        <f t="array" ref="O17">IF(IS_Cat,
  IF(Header_Row_ID = Income_Header_Row, MATCH(Income_Min_Row, $C:$C, 0),
   IF(Header_Row_ID = Expenses_Header_Row, MATCH(Expenses_Min_Row, $C:$C, 0),
    IF(Header_Row_ID = Savings_Header_Row, MATCH(Savings_Min_Row, $C:$C, 0),""))), "")</f>
        <v/>
      </c>
      <c r="P17" s="3" t="str" cm="1">
        <f t="array" ref="P17">IF(IS_Cat,
  IF(Header_Row_ID = Income_Header_Row, MATCH(Income_Max_Row, $C:$C, 0),
   IF(Header_Row_ID = Expenses_Header_Row, MATCH(Expenses_Max_Row, $C:$C, 0),
    IF(Header_Row_ID = Savings_Header_Row, MATCH(Savings_Max_Row, $C:$C, 0),""))), "")</f>
        <v/>
      </c>
      <c r="Q17" s="2" t="str">
        <f t="shared" si="3"/>
        <v/>
      </c>
      <c r="R17" t="str">
        <f t="shared" ca="1" si="4"/>
        <v/>
      </c>
      <c r="S17" t="str">
        <f t="shared" si="5"/>
        <v/>
      </c>
      <c r="T17" t="str">
        <f t="shared" ca="1" si="6"/>
        <v/>
      </c>
      <c r="U17" t="str">
        <f t="shared" si="7"/>
        <v/>
      </c>
      <c r="V17" t="str">
        <f t="shared" ca="1" si="8"/>
        <v/>
      </c>
      <c r="W17" t="str">
        <f t="shared" si="9"/>
        <v/>
      </c>
      <c r="X17" s="3" t="str">
        <f t="shared" ca="1" si="10"/>
        <v/>
      </c>
      <c r="Y17" t="str">
        <f t="shared" si="11"/>
        <v/>
      </c>
      <c r="Z17" t="str">
        <f t="shared" si="12"/>
        <v/>
      </c>
      <c r="AA17" t="str">
        <f t="shared" ca="1" si="13"/>
        <v/>
      </c>
      <c r="AB17" t="str">
        <f t="shared" si="14"/>
        <v/>
      </c>
      <c r="AC17" s="3" t="str">
        <f t="shared" ca="1" si="15"/>
        <v/>
      </c>
      <c r="AD17" s="65">
        <f t="shared" si="24"/>
        <v>20</v>
      </c>
      <c r="AE17" s="66" t="str">
        <f t="shared" ca="1" si="16"/>
        <v>Total</v>
      </c>
      <c r="AF17" s="69">
        <f t="shared" ca="1" si="17"/>
        <v>0</v>
      </c>
      <c r="AG17" s="69">
        <f t="shared" ca="1" si="18"/>
        <v>0</v>
      </c>
      <c r="AH17" s="69">
        <f t="shared" ca="1" si="19"/>
        <v>0</v>
      </c>
      <c r="AI17" s="69">
        <f t="shared" ca="1" si="20"/>
        <v>0</v>
      </c>
      <c r="AJ17" s="68" t="str">
        <f t="shared" ca="1" si="21"/>
        <v>-</v>
      </c>
      <c r="AK17" s="69">
        <f t="shared" ca="1" si="22"/>
        <v>0</v>
      </c>
      <c r="AL17" s="69">
        <f t="shared" ca="1" si="23"/>
        <v>0</v>
      </c>
      <c r="AN17" s="2"/>
      <c r="AQ17" s="81" t="str">
        <f ca="1">Calculations!E40</f>
        <v/>
      </c>
      <c r="AR17" s="88" t="str">
        <f ca="1">Calculations!F40 &amp; " $ ,   " &amp; Calculations!G40 &amp;" LBP ,   " &amp; Calculations!H40 &amp;" €"</f>
        <v xml:space="preserve"> $ ,    LBP ,    €</v>
      </c>
      <c r="AS17" s="3"/>
      <c r="AU17" s="2"/>
      <c r="AV17" s="89"/>
      <c r="AZ17" s="3"/>
    </row>
    <row r="18" spans="3:52" x14ac:dyDescent="0.25">
      <c r="C18" s="2" t="str" cm="1">
        <f t="array" ref="C18">IF(C17 = -1, -1,
 IF(C17 &lt; Income_Max_Row, C17+1,
  IF(C17 = Income_Max_Row, Income_Total_Row,
   IF(C17 = Income_Total_Row, "/1",
    IF(C17 = "/1", Expenses_Header_Row,
     IF(C17 &lt; Expenses_Max_Row, C17+1,
      IF(C17 = Expenses_Max_Row, Expenses_Total_Row,
       IF(C17 = Expenses_Total_Row, "/2",
        IF(C17 = "/2", Savings_Header_Row,
         IF(C17 &lt; Savings_Max_Row, C17+1,
          IF(C17 = Savings_Max_Row, Savings_Total_Row, -1)))))))))))</f>
        <v>/1</v>
      </c>
      <c r="D18" s="3">
        <f t="shared" si="0"/>
        <v>-1</v>
      </c>
      <c r="E18" s="2" cm="1">
        <f t="array" ref="E18">1*OR(Row_ID = Income_Header_Row, Row_ID = Expenses_Header_Row, Row_ID = Savings_Header_Row)</f>
        <v>0</v>
      </c>
      <c r="F18">
        <f t="shared" si="1"/>
        <v>0</v>
      </c>
      <c r="G18" cm="1">
        <f t="array" ref="G18">1*OR(Row_ID = Income_Total_Row, Row_ID = Expenses_Total_Row, Row_ID = Savings_Total_Row)</f>
        <v>0</v>
      </c>
      <c r="H18" s="3">
        <f t="shared" si="2"/>
        <v>1</v>
      </c>
      <c r="I18" s="2" t="str" cm="1">
        <f t="array" ref="I18">IFERROR(INDEX('Budget Planning'!$C:$C, Header_Row_ID),"")</f>
        <v/>
      </c>
      <c r="J18" t="str" cm="1">
        <f t="array" ref="J18">IFERROR(INDEX('Budget Planning'!$C:$C, Row_ID),"")</f>
        <v/>
      </c>
      <c r="K18" s="62" t="str" cm="1">
        <f t="array" ref="K18">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18" s="62" t="str" cm="1">
        <f t="array" ref="L18">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18" s="62" t="str" cm="1">
        <f t="array" ref="M18">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18" s="63" t="str" cm="1">
        <f t="array" ref="N18">IF(OR(IS_Header,IS_Empty),"",
  INDEX('Budget Planning'!$E:$EM,Row_ID,
   MATCH(IF(Selected_Period = "Total Year", Selected_Year, DATE(Selected_Year,Selected_Period,1)),'Budget Planning'!$E$9:$CI$9,0) ))</f>
        <v/>
      </c>
      <c r="O18" s="2" t="str" cm="1">
        <f t="array" ref="O18">IF(IS_Cat,
  IF(Header_Row_ID = Income_Header_Row, MATCH(Income_Min_Row, $C:$C, 0),
   IF(Header_Row_ID = Expenses_Header_Row, MATCH(Expenses_Min_Row, $C:$C, 0),
    IF(Header_Row_ID = Savings_Header_Row, MATCH(Savings_Min_Row, $C:$C, 0),""))), "")</f>
        <v/>
      </c>
      <c r="P18" s="3" t="str" cm="1">
        <f t="array" ref="P18">IF(IS_Cat,
  IF(Header_Row_ID = Income_Header_Row, MATCH(Income_Max_Row, $C:$C, 0),
   IF(Header_Row_ID = Expenses_Header_Row, MATCH(Expenses_Max_Row, $C:$C, 0),
    IF(Header_Row_ID = Savings_Header_Row, MATCH(Savings_Max_Row, $C:$C, 0),""))), "")</f>
        <v/>
      </c>
      <c r="Q18" s="2" t="str">
        <f t="shared" si="3"/>
        <v/>
      </c>
      <c r="R18" t="str">
        <f t="shared" ca="1" si="4"/>
        <v/>
      </c>
      <c r="S18" t="str">
        <f t="shared" si="5"/>
        <v/>
      </c>
      <c r="T18" t="str">
        <f t="shared" ca="1" si="6"/>
        <v/>
      </c>
      <c r="U18" t="str">
        <f t="shared" si="7"/>
        <v/>
      </c>
      <c r="V18" t="str">
        <f t="shared" ca="1" si="8"/>
        <v/>
      </c>
      <c r="W18" t="str">
        <f t="shared" si="9"/>
        <v/>
      </c>
      <c r="X18" s="3" t="str">
        <f t="shared" ca="1" si="10"/>
        <v/>
      </c>
      <c r="Y18" t="str">
        <f t="shared" si="11"/>
        <v/>
      </c>
      <c r="Z18" t="str">
        <f t="shared" si="12"/>
        <v/>
      </c>
      <c r="AA18" t="str">
        <f t="shared" ca="1" si="13"/>
        <v/>
      </c>
      <c r="AB18" t="str">
        <f t="shared" si="14"/>
        <v/>
      </c>
      <c r="AC18" s="3" t="str">
        <f t="shared" ca="1" si="15"/>
        <v/>
      </c>
      <c r="AD18" s="65" t="str">
        <f t="shared" si="24"/>
        <v>/1</v>
      </c>
      <c r="AE18" s="66" t="str">
        <f t="shared" si="16"/>
        <v/>
      </c>
      <c r="AF18" s="69" t="str">
        <f t="shared" si="17"/>
        <v/>
      </c>
      <c r="AG18" s="69" t="str">
        <f t="shared" si="18"/>
        <v/>
      </c>
      <c r="AH18" s="69" t="str">
        <f t="shared" si="19"/>
        <v/>
      </c>
      <c r="AI18" s="69" t="str">
        <f t="shared" si="20"/>
        <v/>
      </c>
      <c r="AJ18" s="68" t="str">
        <f t="shared" si="21"/>
        <v/>
      </c>
      <c r="AK18" s="69" t="str">
        <f t="shared" si="22"/>
        <v/>
      </c>
      <c r="AL18" s="69" t="str">
        <f t="shared" si="23"/>
        <v/>
      </c>
      <c r="AN18" s="2"/>
      <c r="AQ18" s="81" t="str">
        <f ca="1">Calculations!E41</f>
        <v/>
      </c>
      <c r="AR18" s="88" t="str">
        <f ca="1">Calculations!F41 &amp; " $ ,   " &amp; Calculations!G41 &amp;" LBP ,   " &amp; Calculations!H41 &amp;" €"</f>
        <v xml:space="preserve"> $ ,    LBP ,    €</v>
      </c>
      <c r="AS18" s="3"/>
      <c r="AU18" s="2"/>
      <c r="AZ18" s="3"/>
    </row>
    <row r="19" spans="3:52" x14ac:dyDescent="0.25">
      <c r="C19" s="2" cm="1">
        <f t="array" ref="C19">IF(C18 = -1, -1,
 IF(C18 &lt; Income_Max_Row, C18+1,
  IF(C18 = Income_Max_Row, Income_Total_Row,
   IF(C18 = Income_Total_Row, "/1",
    IF(C18 = "/1", Expenses_Header_Row,
     IF(C18 &lt; Expenses_Max_Row, C18+1,
      IF(C18 = Expenses_Max_Row, Expenses_Total_Row,
       IF(C18 = Expenses_Total_Row, "/2",
        IF(C18 = "/2", Savings_Header_Row,
         IF(C18 &lt; Savings_Max_Row, C18+1,
          IF(C18 = Savings_Max_Row, Savings_Total_Row, -1)))))))))))</f>
        <v>22</v>
      </c>
      <c r="D19" s="3">
        <f t="shared" si="0"/>
        <v>22</v>
      </c>
      <c r="E19" s="2" cm="1">
        <f t="array" ref="E19">1*OR(Row_ID = Income_Header_Row, Row_ID = Expenses_Header_Row, Row_ID = Savings_Header_Row)</f>
        <v>1</v>
      </c>
      <c r="F19">
        <f t="shared" si="1"/>
        <v>0</v>
      </c>
      <c r="G19" cm="1">
        <f t="array" ref="G19">1*OR(Row_ID = Income_Total_Row, Row_ID = Expenses_Total_Row, Row_ID = Savings_Total_Row)</f>
        <v>0</v>
      </c>
      <c r="H19" s="3">
        <f t="shared" si="2"/>
        <v>0</v>
      </c>
      <c r="I19" s="2" t="str" cm="1">
        <f t="array" ref="I19">IFERROR(INDEX('Budget Planning'!$C:$C, Header_Row_ID),"")</f>
        <v>Expenses</v>
      </c>
      <c r="J19" t="str" cm="1">
        <f t="array" ref="J19">IFERROR(INDEX('Budget Planning'!$C:$C, Row_ID),"")</f>
        <v>Expenses</v>
      </c>
      <c r="K19" s="62" t="str" cm="1">
        <f t="array" ref="K19">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19" s="62" t="str" cm="1">
        <f t="array" ref="L19">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19" s="62" t="str" cm="1">
        <f t="array" ref="M19">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19" s="63" t="str" cm="1">
        <f t="array" ref="N19">IF(OR(IS_Header,IS_Empty),"",
  INDEX('Budget Planning'!$E:$EM,Row_ID,
   MATCH(IF(Selected_Period = "Total Year", Selected_Year, DATE(Selected_Year,Selected_Period,1)),'Budget Planning'!$E$9:$CI$9,0) ))</f>
        <v/>
      </c>
      <c r="O19" s="2" t="str" cm="1">
        <f t="array" ref="O19">IF(IS_Cat,
  IF(Header_Row_ID = Income_Header_Row, MATCH(Income_Min_Row, $C:$C, 0),
   IF(Header_Row_ID = Expenses_Header_Row, MATCH(Expenses_Min_Row, $C:$C, 0),
    IF(Header_Row_ID = Savings_Header_Row, MATCH(Savings_Min_Row, $C:$C, 0),""))), "")</f>
        <v/>
      </c>
      <c r="P19" s="3" t="str" cm="1">
        <f t="array" ref="P19">IF(IS_Cat,
  IF(Header_Row_ID = Income_Header_Row, MATCH(Income_Max_Row, $C:$C, 0),
   IF(Header_Row_ID = Expenses_Header_Row, MATCH(Expenses_Max_Row, $C:$C, 0),
    IF(Header_Row_ID = Savings_Header_Row, MATCH(Savings_Max_Row, $C:$C, 0),""))), "")</f>
        <v/>
      </c>
      <c r="Q19" s="2" t="str">
        <f t="shared" si="3"/>
        <v/>
      </c>
      <c r="R19" t="str">
        <f t="shared" ca="1" si="4"/>
        <v/>
      </c>
      <c r="S19" t="str">
        <f t="shared" si="5"/>
        <v/>
      </c>
      <c r="T19" t="str">
        <f t="shared" ca="1" si="6"/>
        <v/>
      </c>
      <c r="U19" t="str">
        <f t="shared" si="7"/>
        <v/>
      </c>
      <c r="V19" t="str">
        <f t="shared" ca="1" si="8"/>
        <v/>
      </c>
      <c r="W19" t="str">
        <f t="shared" si="9"/>
        <v/>
      </c>
      <c r="X19" s="3" t="str">
        <f t="shared" ca="1" si="10"/>
        <v/>
      </c>
      <c r="Y19" t="str">
        <f t="shared" si="11"/>
        <v/>
      </c>
      <c r="Z19" t="str">
        <f t="shared" si="12"/>
        <v/>
      </c>
      <c r="AA19" t="str">
        <f t="shared" ca="1" si="13"/>
        <v/>
      </c>
      <c r="AB19" t="str">
        <f t="shared" si="14"/>
        <v/>
      </c>
      <c r="AC19" s="3" t="str">
        <f t="shared" ca="1" si="15"/>
        <v/>
      </c>
      <c r="AD19" s="65">
        <f t="shared" si="24"/>
        <v>22</v>
      </c>
      <c r="AE19" s="66" t="str">
        <f t="shared" ca="1" si="16"/>
        <v>Expenses</v>
      </c>
      <c r="AF19" s="69" t="str">
        <f t="shared" si="17"/>
        <v>Tracked $</v>
      </c>
      <c r="AG19" s="69" t="str">
        <f t="shared" si="18"/>
        <v>Tracked LBP</v>
      </c>
      <c r="AH19" s="69" t="str">
        <f t="shared" si="19"/>
        <v>Tracked €</v>
      </c>
      <c r="AI19" s="69" t="str">
        <f t="shared" si="20"/>
        <v>Budget</v>
      </c>
      <c r="AJ19" s="68" t="str">
        <f t="shared" si="21"/>
        <v>% Compl.</v>
      </c>
      <c r="AK19" s="69" t="str">
        <f t="shared" si="22"/>
        <v>Remaining</v>
      </c>
      <c r="AL19" s="69" t="str">
        <f t="shared" si="23"/>
        <v>Excess</v>
      </c>
      <c r="AN19" s="2"/>
      <c r="AQ19" s="81" t="str">
        <f>Calculations!E42</f>
        <v/>
      </c>
      <c r="AR19" s="88" t="str">
        <f>Calculations!F42 &amp; " $ ,   " &amp; Calculations!G42 &amp;" LBP ,   " &amp; Calculations!H42 &amp;" €"</f>
        <v xml:space="preserve"> $ ,    LBP ,    €</v>
      </c>
      <c r="AS19" s="3"/>
      <c r="AU19" s="2"/>
      <c r="AZ19" s="3"/>
    </row>
    <row r="20" spans="3:52" x14ac:dyDescent="0.25">
      <c r="C20" s="2" cm="1">
        <f t="array" ref="C20">IF(C19 = -1, -1,
 IF(C19 &lt; Income_Max_Row, C19+1,
  IF(C19 = Income_Max_Row, Income_Total_Row,
   IF(C19 = Income_Total_Row, "/1",
    IF(C19 = "/1", Expenses_Header_Row,
     IF(C19 &lt; Expenses_Max_Row, C19+1,
      IF(C19 = Expenses_Max_Row, Expenses_Total_Row,
       IF(C19 = Expenses_Total_Row, "/2",
        IF(C19 = "/2", Savings_Header_Row,
         IF(C19 &lt; Savings_Max_Row, C19+1,
          IF(C19 = Savings_Max_Row, Savings_Total_Row, -1)))))))))))</f>
        <v>23</v>
      </c>
      <c r="D20" s="3">
        <f t="shared" si="0"/>
        <v>22</v>
      </c>
      <c r="E20" s="2" cm="1">
        <f t="array" ref="E20">1*OR(Row_ID = Income_Header_Row, Row_ID = Expenses_Header_Row, Row_ID = Savings_Header_Row)</f>
        <v>0</v>
      </c>
      <c r="F20">
        <f t="shared" si="1"/>
        <v>1</v>
      </c>
      <c r="G20" cm="1">
        <f t="array" ref="G20">1*OR(Row_ID = Income_Total_Row, Row_ID = Expenses_Total_Row, Row_ID = Savings_Total_Row)</f>
        <v>0</v>
      </c>
      <c r="H20" s="3">
        <f t="shared" si="2"/>
        <v>0</v>
      </c>
      <c r="I20" s="2" t="str" cm="1">
        <f t="array" ref="I20">IFERROR(INDEX('Budget Planning'!$C:$C, Header_Row_ID),"")</f>
        <v>Expenses</v>
      </c>
      <c r="J20" t="str" cm="1">
        <f t="array" ref="J20">IFERROR(INDEX('Budget Planning'!$C:$C, Row_ID),"")</f>
        <v>Groceries</v>
      </c>
      <c r="K20" s="62" cm="1">
        <f t="array" aca="1" ref="K20"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88.5</v>
      </c>
      <c r="L20" s="62" cm="1">
        <f t="array" aca="1" ref="L20"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-70000</v>
      </c>
      <c r="M20" s="62" cm="1">
        <f t="array" aca="1" ref="M20"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20" s="63" cm="1">
        <f t="array" aca="1" ref="N20" ca="1">IF(OR(IS_Header,IS_Empty),"",
  INDEX('Budget Planning'!$E:$EM,Row_ID,
   MATCH(IF(Selected_Period = "Total Year", Selected_Year, DATE(Selected_Year,Selected_Period,1)),'Budget Planning'!$E$9:$CI$9,0) ))</f>
        <v>0</v>
      </c>
      <c r="O20" s="2" cm="1">
        <f t="array" aca="1" ref="O20" ca="1">IF(IS_Cat,
  IF(Header_Row_ID = Income_Header_Row, MATCH(Income_Min_Row, $C:$C, 0),
   IF(Header_Row_ID = Expenses_Header_Row, MATCH(Expenses_Min_Row, $C:$C, 0),
    IF(Header_Row_ID = Savings_Header_Row, MATCH(Savings_Min_Row, $C:$C, 0),""))), "")</f>
        <v>20</v>
      </c>
      <c r="P20" s="3" cm="1">
        <f t="array" aca="1" ref="P20" ca="1">IF(IS_Cat,
  IF(Header_Row_ID = Income_Header_Row, MATCH(Income_Max_Row, $C:$C, 0),
   IF(Header_Row_ID = Expenses_Header_Row, MATCH(Expenses_Max_Row, $C:$C, 0),
    IF(Header_Row_ID = Savings_Header_Row, MATCH(Savings_Max_Row, $C:$C, 0),""))), "")</f>
        <v>40</v>
      </c>
      <c r="Q20" s="2" t="str">
        <f t="shared" ca="1" si="3"/>
        <v>$K$20:$K$40</v>
      </c>
      <c r="R20">
        <f t="shared" ca="1" si="4"/>
        <v>2</v>
      </c>
      <c r="S20" t="str">
        <f t="shared" ca="1" si="5"/>
        <v>$L$20:$L$40</v>
      </c>
      <c r="T20">
        <f t="shared" ca="1" si="6"/>
        <v>20</v>
      </c>
      <c r="U20" t="str">
        <f t="shared" ca="1" si="7"/>
        <v>$M$20:$M$40</v>
      </c>
      <c r="V20">
        <f t="shared" ca="1" si="8"/>
        <v>1</v>
      </c>
      <c r="W20" t="str">
        <f t="shared" ca="1" si="9"/>
        <v>$N$20:$N$40</v>
      </c>
      <c r="X20" s="3">
        <f t="shared" ca="1" si="10"/>
        <v>1</v>
      </c>
      <c r="Y20">
        <f t="shared" ca="1" si="11"/>
        <v>21</v>
      </c>
      <c r="Z20" t="str">
        <f t="shared" ca="1" si="12"/>
        <v>$Y$20:$Y$40</v>
      </c>
      <c r="AA20">
        <f t="shared" ca="1" si="13"/>
        <v>2</v>
      </c>
      <c r="AB20" t="str">
        <f t="shared" ca="1" si="14"/>
        <v>$AA$20:$AA$20</v>
      </c>
      <c r="AC20" s="3">
        <f t="shared" ca="1" si="15"/>
        <v>2</v>
      </c>
      <c r="AD20" s="65">
        <f t="shared" ca="1" si="24"/>
        <v>24</v>
      </c>
      <c r="AE20" s="66" t="str">
        <f t="shared" ca="1" si="16"/>
        <v>Health</v>
      </c>
      <c r="AF20" s="69">
        <f t="shared" ca="1" si="17"/>
        <v>248</v>
      </c>
      <c r="AG20" s="69">
        <f t="shared" ca="1" si="18"/>
        <v>540000</v>
      </c>
      <c r="AH20" s="69">
        <f t="shared" ca="1" si="19"/>
        <v>0</v>
      </c>
      <c r="AI20" s="69">
        <f t="shared" ca="1" si="20"/>
        <v>0</v>
      </c>
      <c r="AJ20" s="68" t="str">
        <f t="shared" ca="1" si="21"/>
        <v>-</v>
      </c>
      <c r="AK20" s="69">
        <f t="shared" ca="1" si="22"/>
        <v>0</v>
      </c>
      <c r="AL20" s="69">
        <f t="shared" ca="1" si="23"/>
        <v>248</v>
      </c>
      <c r="AN20" s="2"/>
      <c r="AQ20" s="81" t="str">
        <f>Calculations!E43</f>
        <v/>
      </c>
      <c r="AR20" s="88" t="str">
        <f>Calculations!F43 &amp; " $ ,   " &amp; Calculations!G43 &amp;" LBP ,   " &amp; Calculations!H43 &amp;" €"</f>
        <v xml:space="preserve"> $ ,    LBP ,    €</v>
      </c>
      <c r="AS20" s="3"/>
      <c r="AU20" s="2"/>
      <c r="AZ20" s="3"/>
    </row>
    <row r="21" spans="3:52" x14ac:dyDescent="0.25">
      <c r="C21" s="2" cm="1">
        <f t="array" ref="C21">IF(C20 = -1, -1,
 IF(C20 &lt; Income_Max_Row, C20+1,
  IF(C20 = Income_Max_Row, Income_Total_Row,
   IF(C20 = Income_Total_Row, "/1",
    IF(C20 = "/1", Expenses_Header_Row,
     IF(C20 &lt; Expenses_Max_Row, C20+1,
      IF(C20 = Expenses_Max_Row, Expenses_Total_Row,
       IF(C20 = Expenses_Total_Row, "/2",
        IF(C20 = "/2", Savings_Header_Row,
         IF(C20 &lt; Savings_Max_Row, C20+1,
          IF(C20 = Savings_Max_Row, Savings_Total_Row, -1)))))))))))</f>
        <v>24</v>
      </c>
      <c r="D21" s="3">
        <f t="shared" si="0"/>
        <v>22</v>
      </c>
      <c r="E21" s="2" cm="1">
        <f t="array" ref="E21">1*OR(Row_ID = Income_Header_Row, Row_ID = Expenses_Header_Row, Row_ID = Savings_Header_Row)</f>
        <v>0</v>
      </c>
      <c r="F21">
        <f t="shared" si="1"/>
        <v>1</v>
      </c>
      <c r="G21" cm="1">
        <f t="array" ref="G21">1*OR(Row_ID = Income_Total_Row, Row_ID = Expenses_Total_Row, Row_ID = Savings_Total_Row)</f>
        <v>0</v>
      </c>
      <c r="H21" s="3">
        <f t="shared" si="2"/>
        <v>0</v>
      </c>
      <c r="I21" s="2" t="str" cm="1">
        <f t="array" ref="I21">IFERROR(INDEX('Budget Planning'!$C:$C, Header_Row_ID),"")</f>
        <v>Expenses</v>
      </c>
      <c r="J21" t="str" cm="1">
        <f t="array" ref="J21">IFERROR(INDEX('Budget Planning'!$C:$C, Row_ID),"")</f>
        <v>Dining_Out</v>
      </c>
      <c r="K21" s="62" cm="1">
        <f t="array" aca="1" ref="K21"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8</v>
      </c>
      <c r="L21" s="62" cm="1">
        <f t="array" aca="1" ref="L21"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110000</v>
      </c>
      <c r="M21" s="62" cm="1">
        <f t="array" aca="1" ref="M21"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21" s="63" cm="1">
        <f t="array" aca="1" ref="N21" ca="1">IF(OR(IS_Header,IS_Empty),"",
  INDEX('Budget Planning'!$E:$EM,Row_ID,
   MATCH(IF(Selected_Period = "Total Year", Selected_Year, DATE(Selected_Year,Selected_Period,1)),'Budget Planning'!$E$9:$CI$9,0) ))</f>
        <v>0</v>
      </c>
      <c r="O21" s="2" cm="1">
        <f t="array" aca="1" ref="O21" ca="1">IF(IS_Cat,
  IF(Header_Row_ID = Income_Header_Row, MATCH(Income_Min_Row, $C:$C, 0),
   IF(Header_Row_ID = Expenses_Header_Row, MATCH(Expenses_Min_Row, $C:$C, 0),
    IF(Header_Row_ID = Savings_Header_Row, MATCH(Savings_Min_Row, $C:$C, 0),""))), "")</f>
        <v>20</v>
      </c>
      <c r="P21" s="3" cm="1">
        <f t="array" aca="1" ref="P21" ca="1">IF(IS_Cat,
  IF(Header_Row_ID = Income_Header_Row, MATCH(Income_Max_Row, $C:$C, 0),
   IF(Header_Row_ID = Expenses_Header_Row, MATCH(Expenses_Max_Row, $C:$C, 0),
    IF(Header_Row_ID = Savings_Header_Row, MATCH(Savings_Max_Row, $C:$C, 0),""))), "")</f>
        <v>40</v>
      </c>
      <c r="Q21" s="2" t="str">
        <f t="shared" ca="1" si="3"/>
        <v>$K$20:$K$40</v>
      </c>
      <c r="R21">
        <f t="shared" ca="1" si="4"/>
        <v>8</v>
      </c>
      <c r="S21" t="str">
        <f t="shared" ca="1" si="5"/>
        <v>$L$20:$L$40</v>
      </c>
      <c r="T21">
        <f t="shared" ca="1" si="6"/>
        <v>4</v>
      </c>
      <c r="U21" t="str">
        <f t="shared" ca="1" si="7"/>
        <v>$M$20:$M$40</v>
      </c>
      <c r="V21">
        <f t="shared" ca="1" si="8"/>
        <v>1</v>
      </c>
      <c r="W21" t="str">
        <f t="shared" ca="1" si="9"/>
        <v>$N$20:$N$40</v>
      </c>
      <c r="X21" s="3">
        <f t="shared" ca="1" si="10"/>
        <v>1</v>
      </c>
      <c r="Y21">
        <f t="shared" ca="1" si="11"/>
        <v>81</v>
      </c>
      <c r="Z21" t="str">
        <f t="shared" ca="1" si="12"/>
        <v>$Y$20:$Y$40</v>
      </c>
      <c r="AA21">
        <f t="shared" ca="1" si="13"/>
        <v>8</v>
      </c>
      <c r="AB21" t="str">
        <f t="shared" ca="1" si="14"/>
        <v>$AA$20:$AA$21</v>
      </c>
      <c r="AC21" s="3">
        <f t="shared" ca="1" si="15"/>
        <v>8</v>
      </c>
      <c r="AD21" s="65">
        <f t="shared" ca="1" si="24"/>
        <v>30</v>
      </c>
      <c r="AE21" s="66" t="str">
        <f t="shared" ca="1" si="16"/>
        <v>Groceries</v>
      </c>
      <c r="AF21" s="69">
        <f t="shared" ref="AF21:AF39" ca="1" si="25">IF(IS_Empty, "", IF(IS_Header, "Tracked $", INDEX($K:$K, MATCH(Row_ID, $AD:$AD, 0))))</f>
        <v>88.5</v>
      </c>
      <c r="AG21" s="69">
        <f t="shared" ca="1" si="18"/>
        <v>-70000</v>
      </c>
      <c r="AH21" s="69">
        <f t="shared" ca="1" si="19"/>
        <v>0</v>
      </c>
      <c r="AI21" s="69">
        <f t="shared" ca="1" si="20"/>
        <v>0</v>
      </c>
      <c r="AJ21" s="68" t="str">
        <f t="shared" ca="1" si="21"/>
        <v>-</v>
      </c>
      <c r="AK21" s="69">
        <f t="shared" ca="1" si="22"/>
        <v>0</v>
      </c>
      <c r="AL21" s="69">
        <f t="shared" ca="1" si="23"/>
        <v>88.5</v>
      </c>
      <c r="AN21" s="2"/>
      <c r="AQ21" s="81" t="str">
        <f ca="1">Calculations!E44</f>
        <v/>
      </c>
      <c r="AR21" s="88" t="str">
        <f ca="1">Calculations!F44 &amp; " $ ,   " &amp; Calculations!G44 &amp;" LBP ,   " &amp; Calculations!H44 &amp;" €"</f>
        <v xml:space="preserve"> $ ,    LBP ,    €</v>
      </c>
      <c r="AS21" s="3"/>
      <c r="AU21" s="2"/>
      <c r="AZ21" s="3"/>
    </row>
    <row r="22" spans="3:52" x14ac:dyDescent="0.25">
      <c r="C22" s="2" cm="1">
        <f t="array" ref="C22">IF(C21 = -1, -1,
 IF(C21 &lt; Income_Max_Row, C21+1,
  IF(C21 = Income_Max_Row, Income_Total_Row,
   IF(C21 = Income_Total_Row, "/1",
    IF(C21 = "/1", Expenses_Header_Row,
     IF(C21 &lt; Expenses_Max_Row, C21+1,
      IF(C21 = Expenses_Max_Row, Expenses_Total_Row,
       IF(C21 = Expenses_Total_Row, "/2",
        IF(C21 = "/2", Savings_Header_Row,
         IF(C21 &lt; Savings_Max_Row, C21+1,
          IF(C21 = Savings_Max_Row, Savings_Total_Row, -1)))))))))))</f>
        <v>25</v>
      </c>
      <c r="D22" s="3">
        <f t="shared" si="0"/>
        <v>22</v>
      </c>
      <c r="E22" s="2" cm="1">
        <f t="array" ref="E22">1*OR(Row_ID = Income_Header_Row, Row_ID = Expenses_Header_Row, Row_ID = Savings_Header_Row)</f>
        <v>0</v>
      </c>
      <c r="F22">
        <f t="shared" si="1"/>
        <v>1</v>
      </c>
      <c r="G22" cm="1">
        <f t="array" ref="G22">1*OR(Row_ID = Income_Total_Row, Row_ID = Expenses_Total_Row, Row_ID = Savings_Total_Row)</f>
        <v>0</v>
      </c>
      <c r="H22" s="3">
        <f t="shared" si="2"/>
        <v>0</v>
      </c>
      <c r="I22" s="2" t="str" cm="1">
        <f t="array" ref="I22">IFERROR(INDEX('Budget Planning'!$C:$C, Header_Row_ID),"")</f>
        <v>Expenses</v>
      </c>
      <c r="J22" t="str" cm="1">
        <f t="array" ref="J22">IFERROR(INDEX('Budget Planning'!$C:$C, Row_ID),"")</f>
        <v>Shopping</v>
      </c>
      <c r="K22" s="62" cm="1">
        <f t="array" aca="1" ref="K22"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50</v>
      </c>
      <c r="L22" s="62" cm="1">
        <f t="array" aca="1" ref="L22"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22" s="62" cm="1">
        <f t="array" aca="1" ref="M22"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22" s="63" cm="1">
        <f t="array" aca="1" ref="N22" ca="1">IF(OR(IS_Header,IS_Empty),"",
  INDEX('Budget Planning'!$E:$EM,Row_ID,
   MATCH(IF(Selected_Period = "Total Year", Selected_Year, DATE(Selected_Year,Selected_Period,1)),'Budget Planning'!$E$9:$CI$9,0) ))</f>
        <v>0</v>
      </c>
      <c r="O22" s="2" cm="1">
        <f t="array" aca="1" ref="O22" ca="1">IF(IS_Cat,
  IF(Header_Row_ID = Income_Header_Row, MATCH(Income_Min_Row, $C:$C, 0),
   IF(Header_Row_ID = Expenses_Header_Row, MATCH(Expenses_Min_Row, $C:$C, 0),
    IF(Header_Row_ID = Savings_Header_Row, MATCH(Savings_Min_Row, $C:$C, 0),""))), "")</f>
        <v>20</v>
      </c>
      <c r="P22" s="3" cm="1">
        <f t="array" aca="1" ref="P22" ca="1">IF(IS_Cat,
  IF(Header_Row_ID = Income_Header_Row, MATCH(Income_Max_Row, $C:$C, 0),
   IF(Header_Row_ID = Expenses_Header_Row, MATCH(Expenses_Max_Row, $C:$C, 0),
    IF(Header_Row_ID = Savings_Header_Row, MATCH(Savings_Max_Row, $C:$C, 0),""))), "")</f>
        <v>40</v>
      </c>
      <c r="Q22" s="2" t="str">
        <f t="shared" ca="1" si="3"/>
        <v>$K$20:$K$40</v>
      </c>
      <c r="R22">
        <f t="shared" ca="1" si="4"/>
        <v>4</v>
      </c>
      <c r="S22" t="str">
        <f t="shared" ca="1" si="5"/>
        <v>$L$20:$L$40</v>
      </c>
      <c r="T22">
        <f t="shared" ca="1" si="6"/>
        <v>5</v>
      </c>
      <c r="U22" t="str">
        <f t="shared" ca="1" si="7"/>
        <v>$M$20:$M$40</v>
      </c>
      <c r="V22">
        <f t="shared" ca="1" si="8"/>
        <v>1</v>
      </c>
      <c r="W22" t="str">
        <f t="shared" ca="1" si="9"/>
        <v>$N$20:$N$40</v>
      </c>
      <c r="X22" s="3">
        <f t="shared" ca="1" si="10"/>
        <v>1</v>
      </c>
      <c r="Y22">
        <f t="shared" ca="1" si="11"/>
        <v>41</v>
      </c>
      <c r="Z22" t="str">
        <f t="shared" ca="1" si="12"/>
        <v>$Y$20:$Y$40</v>
      </c>
      <c r="AA22">
        <f t="shared" ca="1" si="13"/>
        <v>4</v>
      </c>
      <c r="AB22" t="str">
        <f t="shared" ca="1" si="14"/>
        <v>$AA$20:$AA$22</v>
      </c>
      <c r="AC22" s="3">
        <f t="shared" ca="1" si="15"/>
        <v>4</v>
      </c>
      <c r="AD22" s="65">
        <f t="shared" ca="1" si="24"/>
        <v>26</v>
      </c>
      <c r="AE22" s="66" t="str">
        <f t="shared" ca="1" si="16"/>
        <v>Car_Maintenance_Mazda</v>
      </c>
      <c r="AF22" s="69">
        <f t="shared" ca="1" si="25"/>
        <v>87</v>
      </c>
      <c r="AG22" s="69">
        <f t="shared" ca="1" si="18"/>
        <v>0</v>
      </c>
      <c r="AH22" s="69">
        <f t="shared" ca="1" si="19"/>
        <v>0</v>
      </c>
      <c r="AI22" s="69">
        <f t="shared" ca="1" si="20"/>
        <v>0</v>
      </c>
      <c r="AJ22" s="68" t="str">
        <f t="shared" ca="1" si="21"/>
        <v>-</v>
      </c>
      <c r="AK22" s="69">
        <f t="shared" ca="1" si="22"/>
        <v>0</v>
      </c>
      <c r="AL22" s="69">
        <f t="shared" ca="1" si="23"/>
        <v>87</v>
      </c>
      <c r="AN22" s="2"/>
      <c r="AQ22" s="83" t="str">
        <f>Calculations!E45</f>
        <v>Total</v>
      </c>
      <c r="AR22" s="83" t="str">
        <f ca="1">Calculations!F45 &amp; " $ ,   " &amp; Calculations!G45 &amp;" LBP ,   " &amp; Calculations!H45 &amp;" €"</f>
        <v>0 $ ,   0 LBP ,   0 €</v>
      </c>
      <c r="AS22" s="3"/>
      <c r="AU22" s="2"/>
      <c r="AZ22" s="3"/>
    </row>
    <row r="23" spans="3:52" x14ac:dyDescent="0.25">
      <c r="C23" s="2" cm="1">
        <f t="array" ref="C23">IF(C22 = -1, -1,
 IF(C22 &lt; Income_Max_Row, C22+1,
  IF(C22 = Income_Max_Row, Income_Total_Row,
   IF(C22 = Income_Total_Row, "/1",
    IF(C22 = "/1", Expenses_Header_Row,
     IF(C22 &lt; Expenses_Max_Row, C22+1,
      IF(C22 = Expenses_Max_Row, Expenses_Total_Row,
       IF(C22 = Expenses_Total_Row, "/2",
        IF(C22 = "/2", Savings_Header_Row,
         IF(C22 &lt; Savings_Max_Row, C22+1,
          IF(C22 = Savings_Max_Row, Savings_Total_Row, -1)))))))))))</f>
        <v>26</v>
      </c>
      <c r="D23" s="3">
        <f t="shared" si="0"/>
        <v>22</v>
      </c>
      <c r="E23" s="2" cm="1">
        <f t="array" ref="E23">1*OR(Row_ID = Income_Header_Row, Row_ID = Expenses_Header_Row, Row_ID = Savings_Header_Row)</f>
        <v>0</v>
      </c>
      <c r="F23">
        <f t="shared" si="1"/>
        <v>1</v>
      </c>
      <c r="G23" cm="1">
        <f t="array" ref="G23">1*OR(Row_ID = Income_Total_Row, Row_ID = Expenses_Total_Row, Row_ID = Savings_Total_Row)</f>
        <v>0</v>
      </c>
      <c r="H23" s="3">
        <f t="shared" si="2"/>
        <v>0</v>
      </c>
      <c r="I23" s="2" t="str" cm="1">
        <f t="array" ref="I23">IFERROR(INDEX('Budget Planning'!$C:$C, Header_Row_ID),"")</f>
        <v>Expenses</v>
      </c>
      <c r="J23" t="str" cm="1">
        <f t="array" ref="J23">IFERROR(INDEX('Budget Planning'!$C:$C, Row_ID),"")</f>
        <v>GYM_Membership</v>
      </c>
      <c r="K23" s="62" cm="1">
        <f t="array" aca="1" ref="K23"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23" s="62" cm="1">
        <f t="array" aca="1" ref="L23"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23" s="62" cm="1">
        <f t="array" aca="1" ref="M23"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23" s="63" cm="1">
        <f t="array" aca="1" ref="N23" ca="1">IF(OR(IS_Header,IS_Empty),"",
  INDEX('Budget Planning'!$E:$EM,Row_ID,
   MATCH(IF(Selected_Period = "Total Year", Selected_Year, DATE(Selected_Year,Selected_Period,1)),'Budget Planning'!$E$9:$CI$9,0) ))</f>
        <v>0</v>
      </c>
      <c r="O23" s="2" cm="1">
        <f t="array" aca="1" ref="O23" ca="1">IF(IS_Cat,
  IF(Header_Row_ID = Income_Header_Row, MATCH(Income_Min_Row, $C:$C, 0),
   IF(Header_Row_ID = Expenses_Header_Row, MATCH(Expenses_Min_Row, $C:$C, 0),
    IF(Header_Row_ID = Savings_Header_Row, MATCH(Savings_Min_Row, $C:$C, 0),""))), "")</f>
        <v>20</v>
      </c>
      <c r="P23" s="3" cm="1">
        <f t="array" aca="1" ref="P23" ca="1">IF(IS_Cat,
  IF(Header_Row_ID = Income_Header_Row, MATCH(Income_Max_Row, $C:$C, 0),
   IF(Header_Row_ID = Expenses_Header_Row, MATCH(Expenses_Max_Row, $C:$C, 0),
    IF(Header_Row_ID = Savings_Header_Row, MATCH(Savings_Max_Row, $C:$C, 0),""))), "")</f>
        <v>40</v>
      </c>
      <c r="Q23" s="2" t="str">
        <f t="shared" ca="1" si="3"/>
        <v>$K$20:$K$40</v>
      </c>
      <c r="R23">
        <f t="shared" ca="1" si="4"/>
        <v>9</v>
      </c>
      <c r="S23" t="str">
        <f t="shared" ca="1" si="5"/>
        <v>$L$20:$L$40</v>
      </c>
      <c r="T23">
        <f t="shared" ca="1" si="6"/>
        <v>5</v>
      </c>
      <c r="U23" t="str">
        <f t="shared" ca="1" si="7"/>
        <v>$M$20:$M$40</v>
      </c>
      <c r="V23">
        <f t="shared" ca="1" si="8"/>
        <v>1</v>
      </c>
      <c r="W23" t="str">
        <f t="shared" ca="1" si="9"/>
        <v>$N$20:$N$40</v>
      </c>
      <c r="X23" s="3">
        <f t="shared" ca="1" si="10"/>
        <v>1</v>
      </c>
      <c r="Y23">
        <f t="shared" ca="1" si="11"/>
        <v>91</v>
      </c>
      <c r="Z23" t="str">
        <f t="shared" ca="1" si="12"/>
        <v>$Y$20:$Y$40</v>
      </c>
      <c r="AA23">
        <f t="shared" ca="1" si="13"/>
        <v>9</v>
      </c>
      <c r="AB23" t="str">
        <f t="shared" ca="1" si="14"/>
        <v>$AA$20:$AA$23</v>
      </c>
      <c r="AC23" s="3">
        <f t="shared" ca="1" si="15"/>
        <v>9</v>
      </c>
      <c r="AD23" s="65">
        <f t="shared" ca="1" si="24"/>
        <v>31</v>
      </c>
      <c r="AE23" s="66" t="str">
        <f t="shared" ca="1" si="16"/>
        <v>Shopping</v>
      </c>
      <c r="AF23" s="69">
        <f t="shared" ca="1" si="25"/>
        <v>50</v>
      </c>
      <c r="AG23" s="69">
        <f t="shared" ca="1" si="18"/>
        <v>0</v>
      </c>
      <c r="AH23" s="69">
        <f t="shared" ca="1" si="19"/>
        <v>0</v>
      </c>
      <c r="AI23" s="69">
        <f t="shared" ca="1" si="20"/>
        <v>0</v>
      </c>
      <c r="AJ23" s="68" t="str">
        <f t="shared" ca="1" si="21"/>
        <v>-</v>
      </c>
      <c r="AK23" s="69">
        <f t="shared" ca="1" si="22"/>
        <v>0</v>
      </c>
      <c r="AL23" s="69">
        <f t="shared" ca="1" si="23"/>
        <v>50</v>
      </c>
      <c r="AN23" s="2"/>
      <c r="AS23" s="3"/>
      <c r="AU23" s="2"/>
      <c r="AZ23" s="3"/>
    </row>
    <row r="24" spans="3:52" x14ac:dyDescent="0.25">
      <c r="C24" s="2" cm="1">
        <f t="array" ref="C24">IF(C23 = -1, -1,
 IF(C23 &lt; Income_Max_Row, C23+1,
  IF(C23 = Income_Max_Row, Income_Total_Row,
   IF(C23 = Income_Total_Row, "/1",
    IF(C23 = "/1", Expenses_Header_Row,
     IF(C23 &lt; Expenses_Max_Row, C23+1,
      IF(C23 = Expenses_Max_Row, Expenses_Total_Row,
       IF(C23 = Expenses_Total_Row, "/2",
        IF(C23 = "/2", Savings_Header_Row,
         IF(C23 &lt; Savings_Max_Row, C23+1,
          IF(C23 = Savings_Max_Row, Savings_Total_Row, -1)))))))))))</f>
        <v>27</v>
      </c>
      <c r="D24" s="3">
        <f t="shared" si="0"/>
        <v>22</v>
      </c>
      <c r="E24" s="2" cm="1">
        <f t="array" ref="E24">1*OR(Row_ID = Income_Header_Row, Row_ID = Expenses_Header_Row, Row_ID = Savings_Header_Row)</f>
        <v>0</v>
      </c>
      <c r="F24">
        <f t="shared" si="1"/>
        <v>1</v>
      </c>
      <c r="G24" cm="1">
        <f t="array" ref="G24">1*OR(Row_ID = Income_Total_Row, Row_ID = Expenses_Total_Row, Row_ID = Savings_Total_Row)</f>
        <v>0</v>
      </c>
      <c r="H24" s="3">
        <f t="shared" si="2"/>
        <v>0</v>
      </c>
      <c r="I24" s="2" t="str" cm="1">
        <f t="array" ref="I24">IFERROR(INDEX('Budget Planning'!$C:$C, Header_Row_ID),"")</f>
        <v>Expenses</v>
      </c>
      <c r="J24" t="str" cm="1">
        <f t="array" ref="J24">IFERROR(INDEX('Budget Planning'!$C:$C, Row_ID),"")</f>
        <v>Personal_Care</v>
      </c>
      <c r="K24" s="62" cm="1">
        <f t="array" aca="1" ref="K24"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25</v>
      </c>
      <c r="L24" s="62" cm="1">
        <f t="array" aca="1" ref="L24"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24" s="62" cm="1">
        <f t="array" aca="1" ref="M24"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24" s="63" cm="1">
        <f t="array" aca="1" ref="N24" ca="1">IF(OR(IS_Header,IS_Empty),"",
  INDEX('Budget Planning'!$E:$EM,Row_ID,
   MATCH(IF(Selected_Period = "Total Year", Selected_Year, DATE(Selected_Year,Selected_Period,1)),'Budget Planning'!$E$9:$CI$9,0) ))</f>
        <v>0</v>
      </c>
      <c r="O24" s="2" cm="1">
        <f t="array" aca="1" ref="O24" ca="1">IF(IS_Cat,
  IF(Header_Row_ID = Income_Header_Row, MATCH(Income_Min_Row, $C:$C, 0),
   IF(Header_Row_ID = Expenses_Header_Row, MATCH(Expenses_Min_Row, $C:$C, 0),
    IF(Header_Row_ID = Savings_Header_Row, MATCH(Savings_Min_Row, $C:$C, 0),""))), "")</f>
        <v>20</v>
      </c>
      <c r="P24" s="3" cm="1">
        <f t="array" aca="1" ref="P24" ca="1">IF(IS_Cat,
  IF(Header_Row_ID = Income_Header_Row, MATCH(Income_Max_Row, $C:$C, 0),
   IF(Header_Row_ID = Expenses_Header_Row, MATCH(Expenses_Max_Row, $C:$C, 0),
    IF(Header_Row_ID = Savings_Header_Row, MATCH(Savings_Max_Row, $C:$C, 0),""))), "")</f>
        <v>40</v>
      </c>
      <c r="Q24" s="2" t="str">
        <f t="shared" ca="1" si="3"/>
        <v>$K$20:$K$40</v>
      </c>
      <c r="R24">
        <f t="shared" ca="1" si="4"/>
        <v>7</v>
      </c>
      <c r="S24" t="str">
        <f t="shared" ca="1" si="5"/>
        <v>$L$20:$L$40</v>
      </c>
      <c r="T24">
        <f t="shared" ca="1" si="6"/>
        <v>5</v>
      </c>
      <c r="U24" t="str">
        <f t="shared" ca="1" si="7"/>
        <v>$M$20:$M$40</v>
      </c>
      <c r="V24">
        <f t="shared" ca="1" si="8"/>
        <v>1</v>
      </c>
      <c r="W24" t="str">
        <f t="shared" ca="1" si="9"/>
        <v>$N$20:$N$40</v>
      </c>
      <c r="X24" s="3">
        <f t="shared" ca="1" si="10"/>
        <v>1</v>
      </c>
      <c r="Y24">
        <f t="shared" ca="1" si="11"/>
        <v>71</v>
      </c>
      <c r="Z24" t="str">
        <f t="shared" ca="1" si="12"/>
        <v>$Y$20:$Y$40</v>
      </c>
      <c r="AA24">
        <f t="shared" ca="1" si="13"/>
        <v>7</v>
      </c>
      <c r="AB24" t="str">
        <f t="shared" ca="1" si="14"/>
        <v>$AA$20:$AA$24</v>
      </c>
      <c r="AC24" s="3">
        <f t="shared" ca="1" si="15"/>
        <v>7</v>
      </c>
      <c r="AD24" s="65">
        <f t="shared" ca="1" si="24"/>
        <v>29</v>
      </c>
      <c r="AE24" s="66" t="str">
        <f t="shared" ca="1" si="16"/>
        <v>Transportation</v>
      </c>
      <c r="AF24" s="69">
        <f t="shared" ca="1" si="25"/>
        <v>40</v>
      </c>
      <c r="AG24" s="69">
        <f t="shared" ca="1" si="18"/>
        <v>0</v>
      </c>
      <c r="AH24" s="69">
        <f t="shared" ca="1" si="19"/>
        <v>0</v>
      </c>
      <c r="AI24" s="69">
        <f t="shared" ca="1" si="20"/>
        <v>0</v>
      </c>
      <c r="AJ24" s="68" t="str">
        <f t="shared" ca="1" si="21"/>
        <v>-</v>
      </c>
      <c r="AK24" s="69">
        <f t="shared" ca="1" si="22"/>
        <v>0</v>
      </c>
      <c r="AL24" s="69">
        <f t="shared" ca="1" si="23"/>
        <v>40</v>
      </c>
      <c r="AN24" s="4"/>
      <c r="AO24" s="5"/>
      <c r="AP24" s="5"/>
      <c r="AQ24" s="5"/>
      <c r="AR24" s="5"/>
      <c r="AS24" s="6"/>
      <c r="AU24" s="4"/>
      <c r="AV24" s="5"/>
      <c r="AW24" s="5"/>
      <c r="AX24" s="5"/>
      <c r="AY24" s="5"/>
      <c r="AZ24" s="6"/>
    </row>
    <row r="25" spans="3:52" x14ac:dyDescent="0.25">
      <c r="C25" s="2" cm="1">
        <f t="array" ref="C25">IF(C24 = -1, -1,
 IF(C24 &lt; Income_Max_Row, C24+1,
  IF(C24 = Income_Max_Row, Income_Total_Row,
   IF(C24 = Income_Total_Row, "/1",
    IF(C24 = "/1", Expenses_Header_Row,
     IF(C24 &lt; Expenses_Max_Row, C24+1,
      IF(C24 = Expenses_Max_Row, Expenses_Total_Row,
       IF(C24 = Expenses_Total_Row, "/2",
        IF(C24 = "/2", Savings_Header_Row,
         IF(C24 &lt; Savings_Max_Row, C24+1,
          IF(C24 = Savings_Max_Row, Savings_Total_Row, -1)))))))))))</f>
        <v>28</v>
      </c>
      <c r="D25" s="3">
        <f t="shared" si="0"/>
        <v>22</v>
      </c>
      <c r="E25" s="2" cm="1">
        <f t="array" ref="E25">1*OR(Row_ID = Income_Header_Row, Row_ID = Expenses_Header_Row, Row_ID = Savings_Header_Row)</f>
        <v>0</v>
      </c>
      <c r="F25">
        <f t="shared" si="1"/>
        <v>1</v>
      </c>
      <c r="G25" cm="1">
        <f t="array" ref="G25">1*OR(Row_ID = Income_Total_Row, Row_ID = Expenses_Total_Row, Row_ID = Savings_Total_Row)</f>
        <v>0</v>
      </c>
      <c r="H25" s="3">
        <f t="shared" si="2"/>
        <v>0</v>
      </c>
      <c r="I25" s="2" t="str" cm="1">
        <f t="array" ref="I25">IFERROR(INDEX('Budget Planning'!$C:$C, Header_Row_ID),"")</f>
        <v>Expenses</v>
      </c>
      <c r="J25" t="str" cm="1">
        <f t="array" ref="J25">IFERROR(INDEX('Budget Planning'!$C:$C, Row_ID),"")</f>
        <v>Transportation</v>
      </c>
      <c r="K25" s="62" cm="1">
        <f t="array" aca="1" ref="K25"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40</v>
      </c>
      <c r="L25" s="62" cm="1">
        <f t="array" aca="1" ref="L25"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25" s="62" cm="1">
        <f t="array" aca="1" ref="M25"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25" s="63" cm="1">
        <f t="array" aca="1" ref="N25" ca="1">IF(OR(IS_Header,IS_Empty),"",
  INDEX('Budget Planning'!$E:$EM,Row_ID,
   MATCH(IF(Selected_Period = "Total Year", Selected_Year, DATE(Selected_Year,Selected_Period,1)),'Budget Planning'!$E$9:$CI$9,0) ))</f>
        <v>0</v>
      </c>
      <c r="O25" s="2" cm="1">
        <f t="array" aca="1" ref="O25" ca="1">IF(IS_Cat,
  IF(Header_Row_ID = Income_Header_Row, MATCH(Income_Min_Row, $C:$C, 0),
   IF(Header_Row_ID = Expenses_Header_Row, MATCH(Expenses_Min_Row, $C:$C, 0),
    IF(Header_Row_ID = Savings_Header_Row, MATCH(Savings_Min_Row, $C:$C, 0),""))), "")</f>
        <v>20</v>
      </c>
      <c r="P25" s="3" cm="1">
        <f t="array" aca="1" ref="P25" ca="1">IF(IS_Cat,
  IF(Header_Row_ID = Income_Header_Row, MATCH(Income_Max_Row, $C:$C, 0),
   IF(Header_Row_ID = Expenses_Header_Row, MATCH(Expenses_Max_Row, $C:$C, 0),
    IF(Header_Row_ID = Savings_Header_Row, MATCH(Savings_Max_Row, $C:$C, 0),""))), "")</f>
        <v>40</v>
      </c>
      <c r="Q25" s="2" t="str">
        <f t="shared" ca="1" si="3"/>
        <v>$K$20:$K$40</v>
      </c>
      <c r="R25">
        <f t="shared" ca="1" si="4"/>
        <v>5</v>
      </c>
      <c r="S25" t="str">
        <f t="shared" ca="1" si="5"/>
        <v>$L$20:$L$40</v>
      </c>
      <c r="T25">
        <f t="shared" ca="1" si="6"/>
        <v>5</v>
      </c>
      <c r="U25" t="str">
        <f t="shared" ca="1" si="7"/>
        <v>$M$20:$M$40</v>
      </c>
      <c r="V25">
        <f t="shared" ca="1" si="8"/>
        <v>1</v>
      </c>
      <c r="W25" t="str">
        <f t="shared" ca="1" si="9"/>
        <v>$N$20:$N$40</v>
      </c>
      <c r="X25" s="3">
        <f t="shared" ca="1" si="10"/>
        <v>1</v>
      </c>
      <c r="Y25">
        <f t="shared" ca="1" si="11"/>
        <v>51</v>
      </c>
      <c r="Z25" t="str">
        <f t="shared" ca="1" si="12"/>
        <v>$Y$20:$Y$40</v>
      </c>
      <c r="AA25">
        <f t="shared" ca="1" si="13"/>
        <v>5</v>
      </c>
      <c r="AB25" t="str">
        <f t="shared" ca="1" si="14"/>
        <v>$AA$20:$AA$25</v>
      </c>
      <c r="AC25" s="3">
        <f t="shared" ca="1" si="15"/>
        <v>5</v>
      </c>
      <c r="AD25" s="65">
        <f t="shared" ca="1" si="24"/>
        <v>27</v>
      </c>
      <c r="AE25" s="66" t="str">
        <f t="shared" ca="1" si="16"/>
        <v>Home_Items</v>
      </c>
      <c r="AF25" s="69">
        <f t="shared" ca="1" si="25"/>
        <v>30</v>
      </c>
      <c r="AG25" s="69">
        <f t="shared" ca="1" si="18"/>
        <v>300000</v>
      </c>
      <c r="AH25" s="69">
        <f t="shared" ca="1" si="19"/>
        <v>0</v>
      </c>
      <c r="AI25" s="69">
        <f t="shared" ca="1" si="20"/>
        <v>0</v>
      </c>
      <c r="AJ25" s="68" t="str">
        <f t="shared" ca="1" si="21"/>
        <v>-</v>
      </c>
      <c r="AK25" s="69">
        <f t="shared" ca="1" si="22"/>
        <v>0</v>
      </c>
      <c r="AL25" s="69">
        <f t="shared" ca="1" si="23"/>
        <v>30</v>
      </c>
    </row>
    <row r="26" spans="3:52" x14ac:dyDescent="0.25">
      <c r="C26" s="2" cm="1">
        <f t="array" ref="C26">IF(C25 = -1, -1,
 IF(C25 &lt; Income_Max_Row, C25+1,
  IF(C25 = Income_Max_Row, Income_Total_Row,
   IF(C25 = Income_Total_Row, "/1",
    IF(C25 = "/1", Expenses_Header_Row,
     IF(C25 &lt; Expenses_Max_Row, C25+1,
      IF(C25 = Expenses_Max_Row, Expenses_Total_Row,
       IF(C25 = Expenses_Total_Row, "/2",
        IF(C25 = "/2", Savings_Header_Row,
         IF(C25 &lt; Savings_Max_Row, C25+1,
          IF(C25 = Savings_Max_Row, Savings_Total_Row, -1)))))))))))</f>
        <v>29</v>
      </c>
      <c r="D26" s="3">
        <f t="shared" si="0"/>
        <v>22</v>
      </c>
      <c r="E26" s="2" cm="1">
        <f t="array" ref="E26">1*OR(Row_ID = Income_Header_Row, Row_ID = Expenses_Header_Row, Row_ID = Savings_Header_Row)</f>
        <v>0</v>
      </c>
      <c r="F26">
        <f t="shared" si="1"/>
        <v>1</v>
      </c>
      <c r="G26" cm="1">
        <f t="array" ref="G26">1*OR(Row_ID = Income_Total_Row, Row_ID = Expenses_Total_Row, Row_ID = Savings_Total_Row)</f>
        <v>0</v>
      </c>
      <c r="H26" s="3">
        <f t="shared" si="2"/>
        <v>0</v>
      </c>
      <c r="I26" s="2" t="str" cm="1">
        <f t="array" ref="I26">IFERROR(INDEX('Budget Planning'!$C:$C, Header_Row_ID),"")</f>
        <v>Expenses</v>
      </c>
      <c r="J26" t="str" cm="1">
        <f t="array" ref="J26">IFERROR(INDEX('Budget Planning'!$C:$C, Row_ID),"")</f>
        <v>Utilities</v>
      </c>
      <c r="K26" s="62" cm="1">
        <f t="array" aca="1" ref="K26"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-10</v>
      </c>
      <c r="L26" s="62" cm="1">
        <f t="array" aca="1" ref="L26"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-820000</v>
      </c>
      <c r="M26" s="62" cm="1">
        <f t="array" aca="1" ref="M26"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26" s="63" cm="1">
        <f t="array" aca="1" ref="N26" ca="1">IF(OR(IS_Header,IS_Empty),"",
  INDEX('Budget Planning'!$E:$EM,Row_ID,
   MATCH(IF(Selected_Period = "Total Year", Selected_Year, DATE(Selected_Year,Selected_Period,1)),'Budget Planning'!$E$9:$CI$9,0) ))</f>
        <v>0</v>
      </c>
      <c r="O26" s="2" cm="1">
        <f t="array" aca="1" ref="O26" ca="1">IF(IS_Cat,
  IF(Header_Row_ID = Income_Header_Row, MATCH(Income_Min_Row, $C:$C, 0),
   IF(Header_Row_ID = Expenses_Header_Row, MATCH(Expenses_Min_Row, $C:$C, 0),
    IF(Header_Row_ID = Savings_Header_Row, MATCH(Savings_Min_Row, $C:$C, 0),""))), "")</f>
        <v>20</v>
      </c>
      <c r="P26" s="3" cm="1">
        <f t="array" aca="1" ref="P26" ca="1">IF(IS_Cat,
  IF(Header_Row_ID = Income_Header_Row, MATCH(Income_Max_Row, $C:$C, 0),
   IF(Header_Row_ID = Expenses_Header_Row, MATCH(Expenses_Max_Row, $C:$C, 0),
    IF(Header_Row_ID = Savings_Header_Row, MATCH(Savings_Max_Row, $C:$C, 0),""))), "")</f>
        <v>40</v>
      </c>
      <c r="Q26" s="2" t="str">
        <f t="shared" ca="1" si="3"/>
        <v>$K$20:$K$40</v>
      </c>
      <c r="R26">
        <f t="shared" ca="1" si="4"/>
        <v>21</v>
      </c>
      <c r="S26" t="str">
        <f t="shared" ca="1" si="5"/>
        <v>$L$20:$L$40</v>
      </c>
      <c r="T26">
        <f t="shared" ca="1" si="6"/>
        <v>21</v>
      </c>
      <c r="U26" t="str">
        <f t="shared" ca="1" si="7"/>
        <v>$M$20:$M$40</v>
      </c>
      <c r="V26">
        <f t="shared" ca="1" si="8"/>
        <v>1</v>
      </c>
      <c r="W26" t="str">
        <f t="shared" ca="1" si="9"/>
        <v>$N$20:$N$40</v>
      </c>
      <c r="X26" s="3">
        <f t="shared" ca="1" si="10"/>
        <v>1</v>
      </c>
      <c r="Y26">
        <f t="shared" ca="1" si="11"/>
        <v>211</v>
      </c>
      <c r="Z26" t="str">
        <f t="shared" ca="1" si="12"/>
        <v>$Y$20:$Y$40</v>
      </c>
      <c r="AA26">
        <f t="shared" ca="1" si="13"/>
        <v>21</v>
      </c>
      <c r="AB26" t="str">
        <f t="shared" ca="1" si="14"/>
        <v>$AA$20:$AA$26</v>
      </c>
      <c r="AC26" s="3">
        <f t="shared" ca="1" si="15"/>
        <v>21</v>
      </c>
      <c r="AD26" s="65">
        <f t="shared" ca="1" si="24"/>
        <v>43</v>
      </c>
      <c r="AE26" s="66" t="str">
        <f t="shared" ca="1" si="16"/>
        <v>Personal_Care</v>
      </c>
      <c r="AF26" s="69">
        <f t="shared" ca="1" si="25"/>
        <v>25</v>
      </c>
      <c r="AG26" s="69">
        <f t="shared" ca="1" si="18"/>
        <v>0</v>
      </c>
      <c r="AH26" s="69">
        <f t="shared" ca="1" si="19"/>
        <v>0</v>
      </c>
      <c r="AI26" s="69">
        <f t="shared" ca="1" si="20"/>
        <v>0</v>
      </c>
      <c r="AJ26" s="68" t="str">
        <f t="shared" ca="1" si="21"/>
        <v>-</v>
      </c>
      <c r="AK26" s="69">
        <f t="shared" ca="1" si="22"/>
        <v>0</v>
      </c>
      <c r="AL26" s="69">
        <f t="shared" ca="1" si="23"/>
        <v>25</v>
      </c>
      <c r="AN26" s="70"/>
      <c r="AO26" s="71"/>
      <c r="AP26" s="71"/>
      <c r="AQ26" s="71"/>
      <c r="AR26" s="71"/>
      <c r="AS26" s="72"/>
      <c r="AU26" s="70"/>
      <c r="AV26" s="71"/>
      <c r="AW26" s="71"/>
      <c r="AX26" s="71"/>
      <c r="AY26" s="71"/>
      <c r="AZ26" s="72"/>
    </row>
    <row r="27" spans="3:52" x14ac:dyDescent="0.25">
      <c r="C27" s="2" cm="1">
        <f t="array" ref="C27">IF(C26 = -1, -1,
 IF(C26 &lt; Income_Max_Row, C26+1,
  IF(C26 = Income_Max_Row, Income_Total_Row,
   IF(C26 = Income_Total_Row, "/1",
    IF(C26 = "/1", Expenses_Header_Row,
     IF(C26 &lt; Expenses_Max_Row, C26+1,
      IF(C26 = Expenses_Max_Row, Expenses_Total_Row,
       IF(C26 = Expenses_Total_Row, "/2",
        IF(C26 = "/2", Savings_Header_Row,
         IF(C26 &lt; Savings_Max_Row, C26+1,
          IF(C26 = Savings_Max_Row, Savings_Total_Row, -1)))))))))))</f>
        <v>30</v>
      </c>
      <c r="D27" s="3">
        <f t="shared" si="0"/>
        <v>22</v>
      </c>
      <c r="E27" s="2" cm="1">
        <f t="array" ref="E27">1*OR(Row_ID = Income_Header_Row, Row_ID = Expenses_Header_Row, Row_ID = Savings_Header_Row)</f>
        <v>0</v>
      </c>
      <c r="F27">
        <f t="shared" si="1"/>
        <v>1</v>
      </c>
      <c r="G27" cm="1">
        <f t="array" ref="G27">1*OR(Row_ID = Income_Total_Row, Row_ID = Expenses_Total_Row, Row_ID = Savings_Total_Row)</f>
        <v>0</v>
      </c>
      <c r="H27" s="3">
        <f t="shared" si="2"/>
        <v>0</v>
      </c>
      <c r="I27" s="2" t="str" cm="1">
        <f t="array" ref="I27">IFERROR(INDEX('Budget Planning'!$C:$C, Header_Row_ID),"")</f>
        <v>Expenses</v>
      </c>
      <c r="J27" t="str" cm="1">
        <f t="array" ref="J27">IFERROR(INDEX('Budget Planning'!$C:$C, Row_ID),"")</f>
        <v>Electronics</v>
      </c>
      <c r="K27" s="62" cm="1">
        <f t="array" aca="1" ref="K27"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27" s="62" cm="1">
        <f t="array" aca="1" ref="L27"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27" s="62" cm="1">
        <f t="array" aca="1" ref="M27"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27" s="63" cm="1">
        <f t="array" aca="1" ref="N27" ca="1">IF(OR(IS_Header,IS_Empty),"",
  INDEX('Budget Planning'!$E:$EM,Row_ID,
   MATCH(IF(Selected_Period = "Total Year", Selected_Year, DATE(Selected_Year,Selected_Period,1)),'Budget Planning'!$E$9:$CI$9,0) ))</f>
        <v>0</v>
      </c>
      <c r="O27" s="2" cm="1">
        <f t="array" aca="1" ref="O27" ca="1">IF(IS_Cat,
  IF(Header_Row_ID = Income_Header_Row, MATCH(Income_Min_Row, $C:$C, 0),
   IF(Header_Row_ID = Expenses_Header_Row, MATCH(Expenses_Min_Row, $C:$C, 0),
    IF(Header_Row_ID = Savings_Header_Row, MATCH(Savings_Min_Row, $C:$C, 0),""))), "")</f>
        <v>20</v>
      </c>
      <c r="P27" s="3" cm="1">
        <f t="array" aca="1" ref="P27" ca="1">IF(IS_Cat,
  IF(Header_Row_ID = Income_Header_Row, MATCH(Income_Max_Row, $C:$C, 0),
   IF(Header_Row_ID = Expenses_Header_Row, MATCH(Expenses_Max_Row, $C:$C, 0),
    IF(Header_Row_ID = Savings_Header_Row, MATCH(Savings_Max_Row, $C:$C, 0),""))), "")</f>
        <v>40</v>
      </c>
      <c r="Q27" s="2" t="str">
        <f t="shared" ca="1" si="3"/>
        <v>$K$20:$K$40</v>
      </c>
      <c r="R27">
        <f t="shared" ca="1" si="4"/>
        <v>9</v>
      </c>
      <c r="S27" t="str">
        <f t="shared" ca="1" si="5"/>
        <v>$L$20:$L$40</v>
      </c>
      <c r="T27">
        <f t="shared" ca="1" si="6"/>
        <v>5</v>
      </c>
      <c r="U27" t="str">
        <f t="shared" ca="1" si="7"/>
        <v>$M$20:$M$40</v>
      </c>
      <c r="V27">
        <f t="shared" ca="1" si="8"/>
        <v>1</v>
      </c>
      <c r="W27" t="str">
        <f t="shared" ca="1" si="9"/>
        <v>$N$20:$N$40</v>
      </c>
      <c r="X27" s="3">
        <f t="shared" ca="1" si="10"/>
        <v>1</v>
      </c>
      <c r="Y27">
        <f t="shared" ca="1" si="11"/>
        <v>91</v>
      </c>
      <c r="Z27" t="str">
        <f t="shared" ca="1" si="12"/>
        <v>$Y$20:$Y$40</v>
      </c>
      <c r="AA27">
        <f t="shared" ca="1" si="13"/>
        <v>9</v>
      </c>
      <c r="AB27" t="str">
        <f t="shared" ca="1" si="14"/>
        <v>$AA$20:$AA$27</v>
      </c>
      <c r="AC27" s="3">
        <f t="shared" ca="1" si="15"/>
        <v>10</v>
      </c>
      <c r="AD27" s="65">
        <f t="shared" ca="1" si="24"/>
        <v>32</v>
      </c>
      <c r="AE27" s="66" t="str">
        <f t="shared" ca="1" si="16"/>
        <v>Dining_Out</v>
      </c>
      <c r="AF27" s="69">
        <f t="shared" ca="1" si="25"/>
        <v>8</v>
      </c>
      <c r="AG27" s="69">
        <f t="shared" ca="1" si="18"/>
        <v>110000</v>
      </c>
      <c r="AH27" s="69">
        <f t="shared" ca="1" si="19"/>
        <v>0</v>
      </c>
      <c r="AI27" s="69">
        <f t="shared" ca="1" si="20"/>
        <v>0</v>
      </c>
      <c r="AJ27" s="68" t="str">
        <f t="shared" ca="1" si="21"/>
        <v>-</v>
      </c>
      <c r="AK27" s="69">
        <f t="shared" ca="1" si="22"/>
        <v>0</v>
      </c>
      <c r="AL27" s="69">
        <f t="shared" ca="1" si="23"/>
        <v>8</v>
      </c>
      <c r="AN27" s="2"/>
      <c r="AS27" s="3"/>
      <c r="AU27" s="2"/>
      <c r="AZ27" s="3"/>
    </row>
    <row r="28" spans="3:52" x14ac:dyDescent="0.25">
      <c r="C28" s="2" cm="1">
        <f t="array" ref="C28">IF(C27 = -1, -1,
 IF(C27 &lt; Income_Max_Row, C27+1,
  IF(C27 = Income_Max_Row, Income_Total_Row,
   IF(C27 = Income_Total_Row, "/1",
    IF(C27 = "/1", Expenses_Header_Row,
     IF(C27 &lt; Expenses_Max_Row, C27+1,
      IF(C27 = Expenses_Max_Row, Expenses_Total_Row,
       IF(C27 = Expenses_Total_Row, "/2",
        IF(C27 = "/2", Savings_Header_Row,
         IF(C27 &lt; Savings_Max_Row, C27+1,
          IF(C27 = Savings_Max_Row, Savings_Total_Row, -1)))))))))))</f>
        <v>31</v>
      </c>
      <c r="D28" s="3">
        <f t="shared" si="0"/>
        <v>22</v>
      </c>
      <c r="E28" s="2" cm="1">
        <f t="array" ref="E28">1*OR(Row_ID = Income_Header_Row, Row_ID = Expenses_Header_Row, Row_ID = Savings_Header_Row)</f>
        <v>0</v>
      </c>
      <c r="F28">
        <f t="shared" si="1"/>
        <v>1</v>
      </c>
      <c r="G28" cm="1">
        <f t="array" ref="G28">1*OR(Row_ID = Income_Total_Row, Row_ID = Expenses_Total_Row, Row_ID = Savings_Total_Row)</f>
        <v>0</v>
      </c>
      <c r="H28" s="3">
        <f t="shared" si="2"/>
        <v>0</v>
      </c>
      <c r="I28" s="2" t="str" cm="1">
        <f t="array" ref="I28">IFERROR(INDEX('Budget Planning'!$C:$C, Header_Row_ID),"")</f>
        <v>Expenses</v>
      </c>
      <c r="J28" t="str" cm="1">
        <f t="array" ref="J28">IFERROR(INDEX('Budget Planning'!$C:$C, Row_ID),"")</f>
        <v>Entertainment</v>
      </c>
      <c r="K28" s="62" cm="1">
        <f t="array" aca="1" ref="K28"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28" s="62" cm="1">
        <f t="array" aca="1" ref="L28"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28" s="62" cm="1">
        <f t="array" aca="1" ref="M28"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28" s="63" cm="1">
        <f t="array" aca="1" ref="N28" ca="1">IF(OR(IS_Header,IS_Empty),"",
  INDEX('Budget Planning'!$E:$EM,Row_ID,
   MATCH(IF(Selected_Period = "Total Year", Selected_Year, DATE(Selected_Year,Selected_Period,1)),'Budget Planning'!$E$9:$CI$9,0) ))</f>
        <v>0</v>
      </c>
      <c r="O28" s="2" cm="1">
        <f t="array" aca="1" ref="O28" ca="1">IF(IS_Cat,
  IF(Header_Row_ID = Income_Header_Row, MATCH(Income_Min_Row, $C:$C, 0),
   IF(Header_Row_ID = Expenses_Header_Row, MATCH(Expenses_Min_Row, $C:$C, 0),
    IF(Header_Row_ID = Savings_Header_Row, MATCH(Savings_Min_Row, $C:$C, 0),""))), "")</f>
        <v>20</v>
      </c>
      <c r="P28" s="3" cm="1">
        <f t="array" aca="1" ref="P28" ca="1">IF(IS_Cat,
  IF(Header_Row_ID = Income_Header_Row, MATCH(Income_Max_Row, $C:$C, 0),
   IF(Header_Row_ID = Expenses_Header_Row, MATCH(Expenses_Max_Row, $C:$C, 0),
    IF(Header_Row_ID = Savings_Header_Row, MATCH(Savings_Max_Row, $C:$C, 0),""))), "")</f>
        <v>40</v>
      </c>
      <c r="Q28" s="2" t="str">
        <f t="shared" ca="1" si="3"/>
        <v>$K$20:$K$40</v>
      </c>
      <c r="R28">
        <f t="shared" ca="1" si="4"/>
        <v>9</v>
      </c>
      <c r="S28" t="str">
        <f t="shared" ca="1" si="5"/>
        <v>$L$20:$L$40</v>
      </c>
      <c r="T28">
        <f t="shared" ca="1" si="6"/>
        <v>5</v>
      </c>
      <c r="U28" t="str">
        <f t="shared" ca="1" si="7"/>
        <v>$M$20:$M$40</v>
      </c>
      <c r="V28">
        <f t="shared" ca="1" si="8"/>
        <v>1</v>
      </c>
      <c r="W28" t="str">
        <f t="shared" ca="1" si="9"/>
        <v>$N$20:$N$40</v>
      </c>
      <c r="X28" s="3">
        <f t="shared" ca="1" si="10"/>
        <v>1</v>
      </c>
      <c r="Y28">
        <f t="shared" ca="1" si="11"/>
        <v>91</v>
      </c>
      <c r="Z28" t="str">
        <f t="shared" ca="1" si="12"/>
        <v>$Y$20:$Y$40</v>
      </c>
      <c r="AA28">
        <f t="shared" ca="1" si="13"/>
        <v>9</v>
      </c>
      <c r="AB28" t="str">
        <f t="shared" ca="1" si="14"/>
        <v>$AA$20:$AA$28</v>
      </c>
      <c r="AC28" s="3">
        <f t="shared" ca="1" si="15"/>
        <v>11</v>
      </c>
      <c r="AD28" s="65">
        <f t="shared" ca="1" si="24"/>
        <v>33</v>
      </c>
      <c r="AE28" s="66" t="str">
        <f t="shared" ca="1" si="16"/>
        <v>GYM_Membership</v>
      </c>
      <c r="AF28" s="69">
        <f t="shared" ca="1" si="25"/>
        <v>0</v>
      </c>
      <c r="AG28" s="69">
        <f t="shared" ca="1" si="18"/>
        <v>0</v>
      </c>
      <c r="AH28" s="69">
        <f t="shared" ca="1" si="19"/>
        <v>0</v>
      </c>
      <c r="AI28" s="69">
        <f t="shared" ca="1" si="20"/>
        <v>0</v>
      </c>
      <c r="AJ28" s="68" t="str">
        <f t="shared" ca="1" si="21"/>
        <v>-</v>
      </c>
      <c r="AK28" s="69">
        <f t="shared" ca="1" si="22"/>
        <v>0</v>
      </c>
      <c r="AL28" s="69">
        <f t="shared" ca="1" si="23"/>
        <v>0</v>
      </c>
      <c r="AN28" s="2"/>
      <c r="AS28" s="3"/>
      <c r="AU28" s="2"/>
      <c r="AZ28" s="3"/>
    </row>
    <row r="29" spans="3:52" x14ac:dyDescent="0.25">
      <c r="C29" s="2" cm="1">
        <f t="array" ref="C29">IF(C28 = -1, -1,
 IF(C28 &lt; Income_Max_Row, C28+1,
  IF(C28 = Income_Max_Row, Income_Total_Row,
   IF(C28 = Income_Total_Row, "/1",
    IF(C28 = "/1", Expenses_Header_Row,
     IF(C28 &lt; Expenses_Max_Row, C28+1,
      IF(C28 = Expenses_Max_Row, Expenses_Total_Row,
       IF(C28 = Expenses_Total_Row, "/2",
        IF(C28 = "/2", Savings_Header_Row,
         IF(C28 &lt; Savings_Max_Row, C28+1,
          IF(C28 = Savings_Max_Row, Savings_Total_Row, -1)))))))))))</f>
        <v>32</v>
      </c>
      <c r="D29" s="3">
        <f t="shared" si="0"/>
        <v>22</v>
      </c>
      <c r="E29" s="2" cm="1">
        <f t="array" ref="E29">1*OR(Row_ID = Income_Header_Row, Row_ID = Expenses_Header_Row, Row_ID = Savings_Header_Row)</f>
        <v>0</v>
      </c>
      <c r="F29">
        <f t="shared" si="1"/>
        <v>1</v>
      </c>
      <c r="G29" cm="1">
        <f t="array" ref="G29">1*OR(Row_ID = Income_Total_Row, Row_ID = Expenses_Total_Row, Row_ID = Savings_Total_Row)</f>
        <v>0</v>
      </c>
      <c r="H29" s="3">
        <f t="shared" si="2"/>
        <v>0</v>
      </c>
      <c r="I29" s="2" t="str" cm="1">
        <f t="array" ref="I29">IFERROR(INDEX('Budget Planning'!$C:$C, Header_Row_ID),"")</f>
        <v>Expenses</v>
      </c>
      <c r="J29" t="str" cm="1">
        <f t="array" ref="J29">IFERROR(INDEX('Budget Planning'!$C:$C, Row_ID),"")</f>
        <v>SKI</v>
      </c>
      <c r="K29" s="62" cm="1">
        <f t="array" aca="1" ref="K29"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29" s="62" cm="1">
        <f t="array" aca="1" ref="L29"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29" s="62" cm="1">
        <f t="array" aca="1" ref="M29"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29" s="63" cm="1">
        <f t="array" aca="1" ref="N29" ca="1">IF(OR(IS_Header,IS_Empty),"",
  INDEX('Budget Planning'!$E:$EM,Row_ID,
   MATCH(IF(Selected_Period = "Total Year", Selected_Year, DATE(Selected_Year,Selected_Period,1)),'Budget Planning'!$E$9:$CI$9,0) ))</f>
        <v>0</v>
      </c>
      <c r="O29" s="2" cm="1">
        <f t="array" aca="1" ref="O29" ca="1">IF(IS_Cat,
  IF(Header_Row_ID = Income_Header_Row, MATCH(Income_Min_Row, $C:$C, 0),
   IF(Header_Row_ID = Expenses_Header_Row, MATCH(Expenses_Min_Row, $C:$C, 0),
    IF(Header_Row_ID = Savings_Header_Row, MATCH(Savings_Min_Row, $C:$C, 0),""))), "")</f>
        <v>20</v>
      </c>
      <c r="P29" s="3" cm="1">
        <f t="array" aca="1" ref="P29" ca="1">IF(IS_Cat,
  IF(Header_Row_ID = Income_Header_Row, MATCH(Income_Max_Row, $C:$C, 0),
   IF(Header_Row_ID = Expenses_Header_Row, MATCH(Expenses_Max_Row, $C:$C, 0),
    IF(Header_Row_ID = Savings_Header_Row, MATCH(Savings_Max_Row, $C:$C, 0),""))), "")</f>
        <v>40</v>
      </c>
      <c r="Q29" s="2" t="str">
        <f t="shared" ca="1" si="3"/>
        <v>$K$20:$K$40</v>
      </c>
      <c r="R29">
        <f t="shared" ca="1" si="4"/>
        <v>9</v>
      </c>
      <c r="S29" t="str">
        <f t="shared" ca="1" si="5"/>
        <v>$L$20:$L$40</v>
      </c>
      <c r="T29">
        <f t="shared" ca="1" si="6"/>
        <v>5</v>
      </c>
      <c r="U29" t="str">
        <f t="shared" ca="1" si="7"/>
        <v>$M$20:$M$40</v>
      </c>
      <c r="V29">
        <f t="shared" ca="1" si="8"/>
        <v>1</v>
      </c>
      <c r="W29" t="str">
        <f t="shared" ca="1" si="9"/>
        <v>$N$20:$N$40</v>
      </c>
      <c r="X29" s="3">
        <f t="shared" ca="1" si="10"/>
        <v>1</v>
      </c>
      <c r="Y29">
        <f t="shared" ca="1" si="11"/>
        <v>91</v>
      </c>
      <c r="Z29" t="str">
        <f t="shared" ca="1" si="12"/>
        <v>$Y$20:$Y$40</v>
      </c>
      <c r="AA29">
        <f t="shared" ca="1" si="13"/>
        <v>9</v>
      </c>
      <c r="AB29" t="str">
        <f t="shared" ca="1" si="14"/>
        <v>$AA$20:$AA$29</v>
      </c>
      <c r="AC29" s="3">
        <f t="shared" ca="1" si="15"/>
        <v>12</v>
      </c>
      <c r="AD29" s="65">
        <f t="shared" ca="1" si="24"/>
        <v>34</v>
      </c>
      <c r="AE29" s="66" t="str">
        <f t="shared" ca="1" si="16"/>
        <v>Electronics</v>
      </c>
      <c r="AF29" s="69">
        <f t="shared" ca="1" si="25"/>
        <v>0</v>
      </c>
      <c r="AG29" s="69">
        <f t="shared" ca="1" si="18"/>
        <v>0</v>
      </c>
      <c r="AH29" s="69">
        <f t="shared" ca="1" si="19"/>
        <v>0</v>
      </c>
      <c r="AI29" s="69">
        <f t="shared" ca="1" si="20"/>
        <v>0</v>
      </c>
      <c r="AJ29" s="68" t="str">
        <f t="shared" ca="1" si="21"/>
        <v>-</v>
      </c>
      <c r="AK29" s="69">
        <f t="shared" ca="1" si="22"/>
        <v>0</v>
      </c>
      <c r="AL29" s="69">
        <f t="shared" ca="1" si="23"/>
        <v>0</v>
      </c>
      <c r="AN29" s="2"/>
      <c r="AQ29" s="81" t="str">
        <f ca="1">Calculations!K39</f>
        <v>Health</v>
      </c>
      <c r="AR29" s="82" t="str">
        <f ca="1">Calculations!L39 &amp; " $ ,   " &amp; Calculations!M39 &amp;" LBP ,   " &amp; Calculations!N39 &amp;" €"</f>
        <v>248 $ ,   540000 LBP ,    €</v>
      </c>
      <c r="AS29" s="3"/>
      <c r="AU29" s="2"/>
      <c r="AX29" s="81" t="str">
        <f ca="1">Calculations!Q39</f>
        <v/>
      </c>
      <c r="AY29" s="82" t="str">
        <f ca="1">Calculations!R39 &amp; " $ ,   " &amp; Calculations!S39 &amp;" LBP ,   " &amp; Calculations!T39 &amp;" €"</f>
        <v xml:space="preserve"> $ ,    LBP ,    €</v>
      </c>
      <c r="AZ29" s="3"/>
    </row>
    <row r="30" spans="3:52" x14ac:dyDescent="0.25">
      <c r="C30" s="2" cm="1">
        <f t="array" ref="C30">IF(C29 = -1, -1,
 IF(C29 &lt; Income_Max_Row, C29+1,
  IF(C29 = Income_Max_Row, Income_Total_Row,
   IF(C29 = Income_Total_Row, "/1",
    IF(C29 = "/1", Expenses_Header_Row,
     IF(C29 &lt; Expenses_Max_Row, C29+1,
      IF(C29 = Expenses_Max_Row, Expenses_Total_Row,
       IF(C29 = Expenses_Total_Row, "/2",
        IF(C29 = "/2", Savings_Header_Row,
         IF(C29 &lt; Savings_Max_Row, C29+1,
          IF(C29 = Savings_Max_Row, Savings_Total_Row, -1)))))))))))</f>
        <v>33</v>
      </c>
      <c r="D30" s="3">
        <f t="shared" si="0"/>
        <v>22</v>
      </c>
      <c r="E30" s="2" cm="1">
        <f t="array" ref="E30">1*OR(Row_ID = Income_Header_Row, Row_ID = Expenses_Header_Row, Row_ID = Savings_Header_Row)</f>
        <v>0</v>
      </c>
      <c r="F30">
        <f t="shared" si="1"/>
        <v>1</v>
      </c>
      <c r="G30" cm="1">
        <f t="array" ref="G30">1*OR(Row_ID = Income_Total_Row, Row_ID = Expenses_Total_Row, Row_ID = Savings_Total_Row)</f>
        <v>0</v>
      </c>
      <c r="H30" s="3">
        <f t="shared" si="2"/>
        <v>0</v>
      </c>
      <c r="I30" s="2" t="str" cm="1">
        <f t="array" ref="I30">IFERROR(INDEX('Budget Planning'!$C:$C, Header_Row_ID),"")</f>
        <v>Expenses</v>
      </c>
      <c r="J30" t="str" cm="1">
        <f t="array" ref="J30">IFERROR(INDEX('Budget Planning'!$C:$C, Row_ID),"")</f>
        <v>Donation</v>
      </c>
      <c r="K30" s="62" cm="1">
        <f t="array" aca="1" ref="K30"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30" s="62" cm="1">
        <f t="array" aca="1" ref="L30"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30" s="62" cm="1">
        <f t="array" aca="1" ref="M30"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30" s="63" cm="1">
        <f t="array" aca="1" ref="N30" ca="1">IF(OR(IS_Header,IS_Empty),"",
  INDEX('Budget Planning'!$E:$EM,Row_ID,
   MATCH(IF(Selected_Period = "Total Year", Selected_Year, DATE(Selected_Year,Selected_Period,1)),'Budget Planning'!$E$9:$CI$9,0) ))</f>
        <v>0</v>
      </c>
      <c r="O30" s="2" cm="1">
        <f t="array" aca="1" ref="O30" ca="1">IF(IS_Cat,
  IF(Header_Row_ID = Income_Header_Row, MATCH(Income_Min_Row, $C:$C, 0),
   IF(Header_Row_ID = Expenses_Header_Row, MATCH(Expenses_Min_Row, $C:$C, 0),
    IF(Header_Row_ID = Savings_Header_Row, MATCH(Savings_Min_Row, $C:$C, 0),""))), "")</f>
        <v>20</v>
      </c>
      <c r="P30" s="3" cm="1">
        <f t="array" aca="1" ref="P30" ca="1">IF(IS_Cat,
  IF(Header_Row_ID = Income_Header_Row, MATCH(Income_Max_Row, $C:$C, 0),
   IF(Header_Row_ID = Expenses_Header_Row, MATCH(Expenses_Max_Row, $C:$C, 0),
    IF(Header_Row_ID = Savings_Header_Row, MATCH(Savings_Max_Row, $C:$C, 0),""))), "")</f>
        <v>40</v>
      </c>
      <c r="Q30" s="2" t="str">
        <f t="shared" ca="1" si="3"/>
        <v>$K$20:$K$40</v>
      </c>
      <c r="R30">
        <f t="shared" ca="1" si="4"/>
        <v>9</v>
      </c>
      <c r="S30" t="str">
        <f t="shared" ca="1" si="5"/>
        <v>$L$20:$L$40</v>
      </c>
      <c r="T30">
        <f t="shared" ca="1" si="6"/>
        <v>5</v>
      </c>
      <c r="U30" t="str">
        <f t="shared" ca="1" si="7"/>
        <v>$M$20:$M$40</v>
      </c>
      <c r="V30">
        <f t="shared" ca="1" si="8"/>
        <v>1</v>
      </c>
      <c r="W30" t="str">
        <f t="shared" ca="1" si="9"/>
        <v>$N$20:$N$40</v>
      </c>
      <c r="X30" s="3">
        <f t="shared" ca="1" si="10"/>
        <v>1</v>
      </c>
      <c r="Y30">
        <f t="shared" ca="1" si="11"/>
        <v>91</v>
      </c>
      <c r="Z30" t="str">
        <f t="shared" ca="1" si="12"/>
        <v>$Y$20:$Y$40</v>
      </c>
      <c r="AA30">
        <f t="shared" ca="1" si="13"/>
        <v>9</v>
      </c>
      <c r="AB30" t="str">
        <f t="shared" ca="1" si="14"/>
        <v>$AA$20:$AA$30</v>
      </c>
      <c r="AC30" s="3">
        <f t="shared" ca="1" si="15"/>
        <v>13</v>
      </c>
      <c r="AD30" s="65">
        <f t="shared" ca="1" si="24"/>
        <v>35</v>
      </c>
      <c r="AE30" s="66" t="str">
        <f t="shared" ca="1" si="16"/>
        <v>Entertainment</v>
      </c>
      <c r="AF30" s="69">
        <f t="shared" ca="1" si="25"/>
        <v>0</v>
      </c>
      <c r="AG30" s="69">
        <f t="shared" ca="1" si="18"/>
        <v>0</v>
      </c>
      <c r="AH30" s="69">
        <f t="shared" ca="1" si="19"/>
        <v>0</v>
      </c>
      <c r="AI30" s="69">
        <f t="shared" ca="1" si="20"/>
        <v>0</v>
      </c>
      <c r="AJ30" s="68" t="str">
        <f t="shared" ca="1" si="21"/>
        <v>-</v>
      </c>
      <c r="AK30" s="69">
        <f t="shared" ca="1" si="22"/>
        <v>0</v>
      </c>
      <c r="AL30" s="69">
        <f t="shared" ca="1" si="23"/>
        <v>0</v>
      </c>
      <c r="AN30" s="2"/>
      <c r="AQ30" s="81" t="str">
        <f ca="1">Calculations!K40</f>
        <v>Groceries</v>
      </c>
      <c r="AR30" s="82" t="str">
        <f ca="1">Calculations!L40 &amp; " $ ,   " &amp; Calculations!M40 &amp;" LBP ,   " &amp; Calculations!N40 &amp;" €"</f>
        <v>88.5 $ ,   -70000 LBP ,    €</v>
      </c>
      <c r="AS30" s="3"/>
      <c r="AU30" s="2"/>
      <c r="AX30" s="81" t="str">
        <f>Calculations!Q40</f>
        <v/>
      </c>
      <c r="AY30" s="82" t="str">
        <f>Calculations!R40 &amp; " $ ,   " &amp; Calculations!S40 &amp;" LBP ,   " &amp; Calculations!T40 &amp;" €"</f>
        <v xml:space="preserve"> $ ,    LBP ,    €</v>
      </c>
      <c r="AZ30" s="3"/>
    </row>
    <row r="31" spans="3:52" x14ac:dyDescent="0.25">
      <c r="C31" s="2" cm="1">
        <f t="array" ref="C31">IF(C30 = -1, -1,
 IF(C30 &lt; Income_Max_Row, C30+1,
  IF(C30 = Income_Max_Row, Income_Total_Row,
   IF(C30 = Income_Total_Row, "/1",
    IF(C30 = "/1", Expenses_Header_Row,
     IF(C30 &lt; Expenses_Max_Row, C30+1,
      IF(C30 = Expenses_Max_Row, Expenses_Total_Row,
       IF(C30 = Expenses_Total_Row, "/2",
        IF(C30 = "/2", Savings_Header_Row,
         IF(C30 &lt; Savings_Max_Row, C30+1,
          IF(C30 = Savings_Max_Row, Savings_Total_Row, -1)))))))))))</f>
        <v>34</v>
      </c>
      <c r="D31" s="3">
        <f t="shared" si="0"/>
        <v>22</v>
      </c>
      <c r="E31" s="2" cm="1">
        <f t="array" ref="E31">1*OR(Row_ID = Income_Header_Row, Row_ID = Expenses_Header_Row, Row_ID = Savings_Header_Row)</f>
        <v>0</v>
      </c>
      <c r="F31">
        <f t="shared" si="1"/>
        <v>1</v>
      </c>
      <c r="G31" cm="1">
        <f t="array" ref="G31">1*OR(Row_ID = Income_Total_Row, Row_ID = Expenses_Total_Row, Row_ID = Savings_Total_Row)</f>
        <v>0</v>
      </c>
      <c r="H31" s="3">
        <f t="shared" si="2"/>
        <v>0</v>
      </c>
      <c r="I31" s="2" t="str" cm="1">
        <f t="array" ref="I31">IFERROR(INDEX('Budget Planning'!$C:$C, Header_Row_ID),"")</f>
        <v>Expenses</v>
      </c>
      <c r="J31" t="str" cm="1">
        <f t="array" ref="J31">IFERROR(INDEX('Budget Planning'!$C:$C, Row_ID),"")</f>
        <v>Car_Maintenance_Mazda</v>
      </c>
      <c r="K31" s="62" cm="1">
        <f t="array" aca="1" ref="K31"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87</v>
      </c>
      <c r="L31" s="62" cm="1">
        <f t="array" aca="1" ref="L31"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31" s="62" cm="1">
        <f t="array" aca="1" ref="M31"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31" s="63" cm="1">
        <f t="array" aca="1" ref="N31" ca="1">IF(OR(IS_Header,IS_Empty),"",
  INDEX('Budget Planning'!$E:$EM,Row_ID,
   MATCH(IF(Selected_Period = "Total Year", Selected_Year, DATE(Selected_Year,Selected_Period,1)),'Budget Planning'!$E$9:$CI$9,0) ))</f>
        <v>0</v>
      </c>
      <c r="O31" s="2" cm="1">
        <f t="array" aca="1" ref="O31" ca="1">IF(IS_Cat,
  IF(Header_Row_ID = Income_Header_Row, MATCH(Income_Min_Row, $C:$C, 0),
   IF(Header_Row_ID = Expenses_Header_Row, MATCH(Expenses_Min_Row, $C:$C, 0),
    IF(Header_Row_ID = Savings_Header_Row, MATCH(Savings_Min_Row, $C:$C, 0),""))), "")</f>
        <v>20</v>
      </c>
      <c r="P31" s="3" cm="1">
        <f t="array" aca="1" ref="P31" ca="1">IF(IS_Cat,
  IF(Header_Row_ID = Income_Header_Row, MATCH(Income_Max_Row, $C:$C, 0),
   IF(Header_Row_ID = Expenses_Header_Row, MATCH(Expenses_Max_Row, $C:$C, 0),
    IF(Header_Row_ID = Savings_Header_Row, MATCH(Savings_Max_Row, $C:$C, 0),""))), "")</f>
        <v>40</v>
      </c>
      <c r="Q31" s="2" t="str">
        <f t="shared" ca="1" si="3"/>
        <v>$K$20:$K$40</v>
      </c>
      <c r="R31">
        <f t="shared" ca="1" si="4"/>
        <v>3</v>
      </c>
      <c r="S31" t="str">
        <f t="shared" ca="1" si="5"/>
        <v>$L$20:$L$40</v>
      </c>
      <c r="T31">
        <f t="shared" ca="1" si="6"/>
        <v>5</v>
      </c>
      <c r="U31" t="str">
        <f t="shared" ca="1" si="7"/>
        <v>$M$20:$M$40</v>
      </c>
      <c r="V31">
        <f t="shared" ca="1" si="8"/>
        <v>1</v>
      </c>
      <c r="W31" t="str">
        <f t="shared" ca="1" si="9"/>
        <v>$N$20:$N$40</v>
      </c>
      <c r="X31" s="3">
        <f t="shared" ca="1" si="10"/>
        <v>1</v>
      </c>
      <c r="Y31">
        <f t="shared" ca="1" si="11"/>
        <v>31</v>
      </c>
      <c r="Z31" t="str">
        <f t="shared" ca="1" si="12"/>
        <v>$Y$20:$Y$40</v>
      </c>
      <c r="AA31">
        <f t="shared" ca="1" si="13"/>
        <v>3</v>
      </c>
      <c r="AB31" t="str">
        <f t="shared" ca="1" si="14"/>
        <v>$AA$20:$AA$31</v>
      </c>
      <c r="AC31" s="3">
        <f t="shared" ca="1" si="15"/>
        <v>3</v>
      </c>
      <c r="AD31" s="65">
        <f t="shared" ca="1" si="24"/>
        <v>25</v>
      </c>
      <c r="AE31" s="66" t="str">
        <f t="shared" ca="1" si="16"/>
        <v>SKI</v>
      </c>
      <c r="AF31" s="69">
        <f t="shared" ca="1" si="25"/>
        <v>0</v>
      </c>
      <c r="AG31" s="69">
        <f t="shared" ca="1" si="18"/>
        <v>0</v>
      </c>
      <c r="AH31" s="69">
        <f t="shared" ca="1" si="19"/>
        <v>0</v>
      </c>
      <c r="AI31" s="69">
        <f t="shared" ca="1" si="20"/>
        <v>0</v>
      </c>
      <c r="AJ31" s="68" t="str">
        <f t="shared" ca="1" si="21"/>
        <v>-</v>
      </c>
      <c r="AK31" s="69">
        <f t="shared" ca="1" si="22"/>
        <v>0</v>
      </c>
      <c r="AL31" s="69">
        <f t="shared" ca="1" si="23"/>
        <v>0</v>
      </c>
      <c r="AN31" s="2"/>
      <c r="AQ31" s="81" t="str">
        <f ca="1">Calculations!K41</f>
        <v>Car_Maintenance_Mazda</v>
      </c>
      <c r="AR31" s="82" t="str">
        <f ca="1">Calculations!L41 &amp; " $ ,   " &amp; Calculations!M41 &amp;" LBP ,   " &amp; Calculations!N41 &amp;" €"</f>
        <v>87 $ ,    LBP ,    €</v>
      </c>
      <c r="AS31" s="3"/>
      <c r="AU31" s="2"/>
      <c r="AX31" s="81" t="str">
        <f>Calculations!Q41</f>
        <v/>
      </c>
      <c r="AY31" s="82" t="str">
        <f>Calculations!R41 &amp; " $ ,   " &amp; Calculations!S41 &amp;" LBP ,   " &amp; Calculations!T41 &amp;" €"</f>
        <v xml:space="preserve"> $ ,    LBP ,    €</v>
      </c>
      <c r="AZ31" s="3"/>
    </row>
    <row r="32" spans="3:52" x14ac:dyDescent="0.25">
      <c r="C32" s="2" cm="1">
        <f t="array" ref="C32">IF(C31 = -1, -1,
 IF(C31 &lt; Income_Max_Row, C31+1,
  IF(C31 = Income_Max_Row, Income_Total_Row,
   IF(C31 = Income_Total_Row, "/1",
    IF(C31 = "/1", Expenses_Header_Row,
     IF(C31 &lt; Expenses_Max_Row, C31+1,
      IF(C31 = Expenses_Max_Row, Expenses_Total_Row,
       IF(C31 = Expenses_Total_Row, "/2",
        IF(C31 = "/2", Savings_Header_Row,
         IF(C31 &lt; Savings_Max_Row, C31+1,
          IF(C31 = Savings_Max_Row, Savings_Total_Row, -1)))))))))))</f>
        <v>35</v>
      </c>
      <c r="D32" s="3">
        <f t="shared" si="0"/>
        <v>22</v>
      </c>
      <c r="E32" s="2" cm="1">
        <f t="array" ref="E32">1*OR(Row_ID = Income_Header_Row, Row_ID = Expenses_Header_Row, Row_ID = Savings_Header_Row)</f>
        <v>0</v>
      </c>
      <c r="F32">
        <f t="shared" si="1"/>
        <v>1</v>
      </c>
      <c r="G32" cm="1">
        <f t="array" ref="G32">1*OR(Row_ID = Income_Total_Row, Row_ID = Expenses_Total_Row, Row_ID = Savings_Total_Row)</f>
        <v>0</v>
      </c>
      <c r="H32" s="3">
        <f t="shared" si="2"/>
        <v>0</v>
      </c>
      <c r="I32" s="2" t="str" cm="1">
        <f t="array" ref="I32">IFERROR(INDEX('Budget Planning'!$C:$C, Header_Row_ID),"")</f>
        <v>Expenses</v>
      </c>
      <c r="J32" t="str" cm="1">
        <f t="array" ref="J32">IFERROR(INDEX('Budget Planning'!$C:$C, Row_ID),"")</f>
        <v>Car_Maintenance_Opel</v>
      </c>
      <c r="K32" s="62" cm="1">
        <f t="array" aca="1" ref="K32"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32" s="62" cm="1">
        <f t="array" aca="1" ref="L32"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32" s="62" cm="1">
        <f t="array" aca="1" ref="M32"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32" s="63" cm="1">
        <f t="array" aca="1" ref="N32" ca="1">IF(OR(IS_Header,IS_Empty),"",
  INDEX('Budget Planning'!$E:$EM,Row_ID,
   MATCH(IF(Selected_Period = "Total Year", Selected_Year, DATE(Selected_Year,Selected_Period,1)),'Budget Planning'!$E$9:$CI$9,0) ))</f>
        <v>0</v>
      </c>
      <c r="O32" s="2" cm="1">
        <f t="array" aca="1" ref="O32" ca="1">IF(IS_Cat,
  IF(Header_Row_ID = Income_Header_Row, MATCH(Income_Min_Row, $C:$C, 0),
   IF(Header_Row_ID = Expenses_Header_Row, MATCH(Expenses_Min_Row, $C:$C, 0),
    IF(Header_Row_ID = Savings_Header_Row, MATCH(Savings_Min_Row, $C:$C, 0),""))), "")</f>
        <v>20</v>
      </c>
      <c r="P32" s="3" cm="1">
        <f t="array" aca="1" ref="P32" ca="1">IF(IS_Cat,
  IF(Header_Row_ID = Income_Header_Row, MATCH(Income_Max_Row, $C:$C, 0),
   IF(Header_Row_ID = Expenses_Header_Row, MATCH(Expenses_Max_Row, $C:$C, 0),
    IF(Header_Row_ID = Savings_Header_Row, MATCH(Savings_Max_Row, $C:$C, 0),""))), "")</f>
        <v>40</v>
      </c>
      <c r="Q32" s="2" t="str">
        <f t="shared" ca="1" si="3"/>
        <v>$K$20:$K$40</v>
      </c>
      <c r="R32">
        <f t="shared" ca="1" si="4"/>
        <v>9</v>
      </c>
      <c r="S32" t="str">
        <f t="shared" ca="1" si="5"/>
        <v>$L$20:$L$40</v>
      </c>
      <c r="T32">
        <f t="shared" ca="1" si="6"/>
        <v>5</v>
      </c>
      <c r="U32" t="str">
        <f t="shared" ca="1" si="7"/>
        <v>$M$20:$M$40</v>
      </c>
      <c r="V32">
        <f t="shared" ca="1" si="8"/>
        <v>1</v>
      </c>
      <c r="W32" t="str">
        <f t="shared" ca="1" si="9"/>
        <v>$N$20:$N$40</v>
      </c>
      <c r="X32" s="3">
        <f t="shared" ca="1" si="10"/>
        <v>1</v>
      </c>
      <c r="Y32">
        <f t="shared" ca="1" si="11"/>
        <v>91</v>
      </c>
      <c r="Z32" t="str">
        <f t="shared" ca="1" si="12"/>
        <v>$Y$20:$Y$40</v>
      </c>
      <c r="AA32">
        <f t="shared" ca="1" si="13"/>
        <v>9</v>
      </c>
      <c r="AB32" t="str">
        <f t="shared" ca="1" si="14"/>
        <v>$AA$20:$AA$32</v>
      </c>
      <c r="AC32" s="3">
        <f t="shared" ca="1" si="15"/>
        <v>14</v>
      </c>
      <c r="AD32" s="65">
        <f t="shared" ca="1" si="24"/>
        <v>36</v>
      </c>
      <c r="AE32" s="66" t="str">
        <f t="shared" ca="1" si="16"/>
        <v>Donation</v>
      </c>
      <c r="AF32" s="69">
        <f t="shared" ca="1" si="25"/>
        <v>0</v>
      </c>
      <c r="AG32" s="69">
        <f t="shared" ca="1" si="18"/>
        <v>0</v>
      </c>
      <c r="AH32" s="69">
        <f t="shared" ca="1" si="19"/>
        <v>0</v>
      </c>
      <c r="AI32" s="69">
        <f t="shared" ca="1" si="20"/>
        <v>0</v>
      </c>
      <c r="AJ32" s="68" t="str">
        <f t="shared" ca="1" si="21"/>
        <v>-</v>
      </c>
      <c r="AK32" s="69">
        <f t="shared" ca="1" si="22"/>
        <v>0</v>
      </c>
      <c r="AL32" s="69">
        <f t="shared" ca="1" si="23"/>
        <v>0</v>
      </c>
      <c r="AN32" s="2"/>
      <c r="AQ32" s="81" t="str">
        <f ca="1">Calculations!K42</f>
        <v>Shopping</v>
      </c>
      <c r="AR32" s="82" t="str">
        <f ca="1">Calculations!L42 &amp; " $ ,   " &amp; Calculations!M42 &amp;" LBP ,   " &amp; Calculations!N42 &amp;" €"</f>
        <v>50 $ ,    LBP ,    €</v>
      </c>
      <c r="AS32" s="3"/>
      <c r="AU32" s="2"/>
      <c r="AX32" s="81" t="str">
        <f>Calculations!Q42</f>
        <v/>
      </c>
      <c r="AY32" s="82" t="str">
        <f>Calculations!R42 &amp; " $ ,   " &amp; Calculations!S42 &amp;" LBP ,   " &amp; Calculations!T42 &amp;" €"</f>
        <v xml:space="preserve"> $ ,    LBP ,    €</v>
      </c>
      <c r="AZ32" s="3"/>
    </row>
    <row r="33" spans="3:52" x14ac:dyDescent="0.25">
      <c r="C33" s="2" cm="1">
        <f t="array" ref="C33">IF(C32 = -1, -1,
 IF(C32 &lt; Income_Max_Row, C32+1,
  IF(C32 = Income_Max_Row, Income_Total_Row,
   IF(C32 = Income_Total_Row, "/1",
    IF(C32 = "/1", Expenses_Header_Row,
     IF(C32 &lt; Expenses_Max_Row, C32+1,
      IF(C32 = Expenses_Max_Row, Expenses_Total_Row,
       IF(C32 = Expenses_Total_Row, "/2",
        IF(C32 = "/2", Savings_Header_Row,
         IF(C32 &lt; Savings_Max_Row, C32+1,
          IF(C32 = Savings_Max_Row, Savings_Total_Row, -1)))))))))))</f>
        <v>36</v>
      </c>
      <c r="D33" s="3">
        <f t="shared" si="0"/>
        <v>22</v>
      </c>
      <c r="E33" s="2" cm="1">
        <f t="array" ref="E33">1*OR(Row_ID = Income_Header_Row, Row_ID = Expenses_Header_Row, Row_ID = Savings_Header_Row)</f>
        <v>0</v>
      </c>
      <c r="F33">
        <f t="shared" si="1"/>
        <v>1</v>
      </c>
      <c r="G33" cm="1">
        <f t="array" ref="G33">1*OR(Row_ID = Income_Total_Row, Row_ID = Expenses_Total_Row, Row_ID = Savings_Total_Row)</f>
        <v>0</v>
      </c>
      <c r="H33" s="3">
        <f t="shared" si="2"/>
        <v>0</v>
      </c>
      <c r="I33" s="2" t="str" cm="1">
        <f t="array" ref="I33">IFERROR(INDEX('Budget Planning'!$C:$C, Header_Row_ID),"")</f>
        <v>Expenses</v>
      </c>
      <c r="J33" t="str" cm="1">
        <f t="array" ref="J33">IFERROR(INDEX('Budget Planning'!$C:$C, Row_ID),"")</f>
        <v>Home_Items</v>
      </c>
      <c r="K33" s="62" cm="1">
        <f t="array" aca="1" ref="K33"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30</v>
      </c>
      <c r="L33" s="62" cm="1">
        <f t="array" aca="1" ref="L33"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300000</v>
      </c>
      <c r="M33" s="62" cm="1">
        <f t="array" aca="1" ref="M33"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33" s="63" cm="1">
        <f t="array" aca="1" ref="N33" ca="1">IF(OR(IS_Header,IS_Empty),"",
  INDEX('Budget Planning'!$E:$EM,Row_ID,
   MATCH(IF(Selected_Period = "Total Year", Selected_Year, DATE(Selected_Year,Selected_Period,1)),'Budget Planning'!$E$9:$CI$9,0) ))</f>
        <v>0</v>
      </c>
      <c r="O33" s="2" cm="1">
        <f t="array" aca="1" ref="O33" ca="1">IF(IS_Cat,
  IF(Header_Row_ID = Income_Header_Row, MATCH(Income_Min_Row, $C:$C, 0),
   IF(Header_Row_ID = Expenses_Header_Row, MATCH(Expenses_Min_Row, $C:$C, 0),
    IF(Header_Row_ID = Savings_Header_Row, MATCH(Savings_Min_Row, $C:$C, 0),""))), "")</f>
        <v>20</v>
      </c>
      <c r="P33" s="3" cm="1">
        <f t="array" aca="1" ref="P33" ca="1">IF(IS_Cat,
  IF(Header_Row_ID = Income_Header_Row, MATCH(Income_Max_Row, $C:$C, 0),
   IF(Header_Row_ID = Expenses_Header_Row, MATCH(Expenses_Max_Row, $C:$C, 0),
    IF(Header_Row_ID = Savings_Header_Row, MATCH(Savings_Max_Row, $C:$C, 0),""))), "")</f>
        <v>40</v>
      </c>
      <c r="Q33" s="2" t="str">
        <f t="shared" ca="1" si="3"/>
        <v>$K$20:$K$40</v>
      </c>
      <c r="R33">
        <f t="shared" ca="1" si="4"/>
        <v>6</v>
      </c>
      <c r="S33" t="str">
        <f t="shared" ca="1" si="5"/>
        <v>$L$20:$L$40</v>
      </c>
      <c r="T33">
        <f t="shared" ca="1" si="6"/>
        <v>2</v>
      </c>
      <c r="U33" t="str">
        <f t="shared" ca="1" si="7"/>
        <v>$M$20:$M$40</v>
      </c>
      <c r="V33">
        <f t="shared" ca="1" si="8"/>
        <v>1</v>
      </c>
      <c r="W33" t="str">
        <f t="shared" ca="1" si="9"/>
        <v>$N$20:$N$40</v>
      </c>
      <c r="X33" s="3">
        <f t="shared" ca="1" si="10"/>
        <v>1</v>
      </c>
      <c r="Y33">
        <f t="shared" ca="1" si="11"/>
        <v>61</v>
      </c>
      <c r="Z33" t="str">
        <f t="shared" ca="1" si="12"/>
        <v>$Y$20:$Y$40</v>
      </c>
      <c r="AA33">
        <f t="shared" ca="1" si="13"/>
        <v>6</v>
      </c>
      <c r="AB33" t="str">
        <f t="shared" ca="1" si="14"/>
        <v>$AA$20:$AA$33</v>
      </c>
      <c r="AC33" s="3">
        <f t="shared" ca="1" si="15"/>
        <v>6</v>
      </c>
      <c r="AD33" s="65">
        <f t="shared" ca="1" si="24"/>
        <v>28</v>
      </c>
      <c r="AE33" s="66" t="str">
        <f ca="1">IF(IS_Empty, "", INDEX($J:$J, MATCH(Row_ID, $AD:$AD, 0)))</f>
        <v>Car_Maintenance_Opel</v>
      </c>
      <c r="AF33" s="69">
        <f t="shared" ca="1" si="25"/>
        <v>0</v>
      </c>
      <c r="AG33" s="69">
        <f t="shared" ca="1" si="18"/>
        <v>0</v>
      </c>
      <c r="AH33" s="69">
        <f t="shared" ca="1" si="19"/>
        <v>0</v>
      </c>
      <c r="AI33" s="69">
        <f t="shared" ca="1" si="20"/>
        <v>0</v>
      </c>
      <c r="AJ33" s="68" t="str">
        <f t="shared" ca="1" si="21"/>
        <v>-</v>
      </c>
      <c r="AK33" s="69">
        <f t="shared" ca="1" si="22"/>
        <v>0</v>
      </c>
      <c r="AL33" s="69">
        <f t="shared" ca="1" si="23"/>
        <v>0</v>
      </c>
      <c r="AN33" s="2"/>
      <c r="AQ33" s="81" t="str">
        <f ca="1">Calculations!K43</f>
        <v>Transportation</v>
      </c>
      <c r="AR33" s="82" t="str">
        <f ca="1">Calculations!L43 &amp; " $ ,   " &amp; Calculations!M43 &amp;" LBP ,   " &amp; Calculations!N43 &amp;" €"</f>
        <v>40 $ ,    LBP ,    €</v>
      </c>
      <c r="AS33" s="3"/>
      <c r="AU33" s="2"/>
      <c r="AX33" s="81" t="str">
        <f>Calculations!Q43</f>
        <v/>
      </c>
      <c r="AY33" s="82" t="str">
        <f>Calculations!R43 &amp; " $ ,   " &amp; Calculations!S43 &amp;" LBP ,   " &amp; Calculations!T43 &amp;" €"</f>
        <v xml:space="preserve"> $ ,    LBP ,    €</v>
      </c>
      <c r="AZ33" s="3"/>
    </row>
    <row r="34" spans="3:52" x14ac:dyDescent="0.25">
      <c r="C34" s="2" cm="1">
        <f t="array" ref="C34">IF(C33 = -1, -1,
 IF(C33 &lt; Income_Max_Row, C33+1,
  IF(C33 = Income_Max_Row, Income_Total_Row,
   IF(C33 = Income_Total_Row, "/1",
    IF(C33 = "/1", Expenses_Header_Row,
     IF(C33 &lt; Expenses_Max_Row, C33+1,
      IF(C33 = Expenses_Max_Row, Expenses_Total_Row,
       IF(C33 = Expenses_Total_Row, "/2",
        IF(C33 = "/2", Savings_Header_Row,
         IF(C33 &lt; Savings_Max_Row, C33+1,
          IF(C33 = Savings_Max_Row, Savings_Total_Row, -1)))))))))))</f>
        <v>37</v>
      </c>
      <c r="D34" s="3">
        <f t="shared" si="0"/>
        <v>22</v>
      </c>
      <c r="E34" s="2" cm="1">
        <f t="array" ref="E34">1*OR(Row_ID = Income_Header_Row, Row_ID = Expenses_Header_Row, Row_ID = Savings_Header_Row)</f>
        <v>0</v>
      </c>
      <c r="F34">
        <f t="shared" si="1"/>
        <v>1</v>
      </c>
      <c r="G34" cm="1">
        <f t="array" ref="G34">1*OR(Row_ID = Income_Total_Row, Row_ID = Expenses_Total_Row, Row_ID = Savings_Total_Row)</f>
        <v>0</v>
      </c>
      <c r="H34" s="3">
        <f t="shared" si="2"/>
        <v>0</v>
      </c>
      <c r="I34" s="2" t="str" cm="1">
        <f t="array" ref="I34">IFERROR(INDEX('Budget Planning'!$C:$C, Header_Row_ID),"")</f>
        <v>Expenses</v>
      </c>
      <c r="J34" t="str" cm="1">
        <f t="array" ref="J34">IFERROR(INDEX('Budget Planning'!$C:$C, Row_ID),"")</f>
        <v>Health</v>
      </c>
      <c r="K34" s="62" cm="1">
        <f t="array" aca="1" ref="K34"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248</v>
      </c>
      <c r="L34" s="62" cm="1">
        <f t="array" aca="1" ref="L34"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540000</v>
      </c>
      <c r="M34" s="62" cm="1">
        <f t="array" aca="1" ref="M34"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34" s="63" cm="1">
        <f t="array" aca="1" ref="N34" ca="1">IF(OR(IS_Header,IS_Empty),"",
  INDEX('Budget Planning'!$E:$EM,Row_ID,
   MATCH(IF(Selected_Period = "Total Year", Selected_Year, DATE(Selected_Year,Selected_Period,1)),'Budget Planning'!$E$9:$CI$9,0) ))</f>
        <v>0</v>
      </c>
      <c r="O34" s="2" cm="1">
        <f t="array" aca="1" ref="O34" ca="1">IF(IS_Cat,
  IF(Header_Row_ID = Income_Header_Row, MATCH(Income_Min_Row, $C:$C, 0),
   IF(Header_Row_ID = Expenses_Header_Row, MATCH(Expenses_Min_Row, $C:$C, 0),
    IF(Header_Row_ID = Savings_Header_Row, MATCH(Savings_Min_Row, $C:$C, 0),""))), "")</f>
        <v>20</v>
      </c>
      <c r="P34" s="3" cm="1">
        <f t="array" aca="1" ref="P34" ca="1">IF(IS_Cat,
  IF(Header_Row_ID = Income_Header_Row, MATCH(Income_Max_Row, $C:$C, 0),
   IF(Header_Row_ID = Expenses_Header_Row, MATCH(Expenses_Max_Row, $C:$C, 0),
    IF(Header_Row_ID = Savings_Header_Row, MATCH(Savings_Max_Row, $C:$C, 0),""))), "")</f>
        <v>40</v>
      </c>
      <c r="Q34" s="2" t="str">
        <f t="shared" ca="1" si="3"/>
        <v>$K$20:$K$40</v>
      </c>
      <c r="R34">
        <f t="shared" ca="1" si="4"/>
        <v>1</v>
      </c>
      <c r="S34" t="str">
        <f t="shared" ca="1" si="5"/>
        <v>$L$20:$L$40</v>
      </c>
      <c r="T34">
        <f t="shared" ca="1" si="6"/>
        <v>1</v>
      </c>
      <c r="U34" t="str">
        <f t="shared" ca="1" si="7"/>
        <v>$M$20:$M$40</v>
      </c>
      <c r="V34">
        <f t="shared" ca="1" si="8"/>
        <v>1</v>
      </c>
      <c r="W34" t="str">
        <f t="shared" ca="1" si="9"/>
        <v>$N$20:$N$40</v>
      </c>
      <c r="X34" s="3">
        <f t="shared" ca="1" si="10"/>
        <v>1</v>
      </c>
      <c r="Y34">
        <f t="shared" ca="1" si="11"/>
        <v>11</v>
      </c>
      <c r="Z34" t="str">
        <f t="shared" ca="1" si="12"/>
        <v>$Y$20:$Y$40</v>
      </c>
      <c r="AA34">
        <f t="shared" ca="1" si="13"/>
        <v>1</v>
      </c>
      <c r="AB34" t="str">
        <f t="shared" ca="1" si="14"/>
        <v>$AA$20:$AA$34</v>
      </c>
      <c r="AC34" s="3">
        <f t="shared" ca="1" si="15"/>
        <v>1</v>
      </c>
      <c r="AD34" s="65">
        <f t="shared" ca="1" si="24"/>
        <v>23</v>
      </c>
      <c r="AE34" s="66" t="str">
        <f t="shared" ca="1" si="16"/>
        <v>WoodWork_Workshop</v>
      </c>
      <c r="AF34" s="69">
        <f t="shared" ca="1" si="25"/>
        <v>0</v>
      </c>
      <c r="AG34" s="69">
        <f t="shared" ca="1" si="18"/>
        <v>250000</v>
      </c>
      <c r="AH34" s="69">
        <f t="shared" ca="1" si="19"/>
        <v>0</v>
      </c>
      <c r="AI34" s="69">
        <f t="shared" ca="1" si="20"/>
        <v>0</v>
      </c>
      <c r="AJ34" s="68" t="str">
        <f t="shared" ca="1" si="21"/>
        <v>-</v>
      </c>
      <c r="AK34" s="69">
        <f t="shared" ca="1" si="22"/>
        <v>0</v>
      </c>
      <c r="AL34" s="69">
        <f t="shared" ca="1" si="23"/>
        <v>0</v>
      </c>
      <c r="AN34" s="2"/>
      <c r="AQ34" s="81" t="str">
        <f ca="1">Calculations!K44</f>
        <v>Other</v>
      </c>
      <c r="AR34" s="82" t="str">
        <f ca="1">Calculations!L44 &amp; " $ ,   " &amp; Calculations!M44 &amp;" LBP ,   " &amp; Calculations!N44 &amp;" €"</f>
        <v>53 $ ,   -160000 LBP ,    €</v>
      </c>
      <c r="AS34" s="3"/>
      <c r="AU34" s="2"/>
      <c r="AX34" s="81" t="str">
        <f ca="1">Calculations!Q44</f>
        <v/>
      </c>
      <c r="AY34" s="82" t="str">
        <f ca="1">Calculations!R44 &amp; " $ ,   " &amp; Calculations!S44 &amp;" LBP ,   " &amp; Calculations!T44 &amp;" €"</f>
        <v xml:space="preserve"> $ ,    LBP ,    €</v>
      </c>
      <c r="AZ34" s="3"/>
    </row>
    <row r="35" spans="3:52" x14ac:dyDescent="0.25">
      <c r="C35" s="2" cm="1">
        <f t="array" ref="C35">IF(C34 = -1, -1,
 IF(C34 &lt; Income_Max_Row, C34+1,
  IF(C34 = Income_Max_Row, Income_Total_Row,
   IF(C34 = Income_Total_Row, "/1",
    IF(C34 = "/1", Expenses_Header_Row,
     IF(C34 &lt; Expenses_Max_Row, C34+1,
      IF(C34 = Expenses_Max_Row, Expenses_Total_Row,
       IF(C34 = Expenses_Total_Row, "/2",
        IF(C34 = "/2", Savings_Header_Row,
         IF(C34 &lt; Savings_Max_Row, C34+1,
          IF(C34 = Savings_Max_Row, Savings_Total_Row, -1)))))))))))</f>
        <v>38</v>
      </c>
      <c r="D35" s="3">
        <f t="shared" si="0"/>
        <v>22</v>
      </c>
      <c r="E35" s="2" cm="1">
        <f t="array" ref="E35">1*OR(Row_ID = Income_Header_Row, Row_ID = Expenses_Header_Row, Row_ID = Savings_Header_Row)</f>
        <v>0</v>
      </c>
      <c r="F35">
        <f t="shared" si="1"/>
        <v>1</v>
      </c>
      <c r="G35" cm="1">
        <f t="array" ref="G35">1*OR(Row_ID = Income_Total_Row, Row_ID = Expenses_Total_Row, Row_ID = Savings_Total_Row)</f>
        <v>0</v>
      </c>
      <c r="H35" s="3">
        <f t="shared" si="2"/>
        <v>0</v>
      </c>
      <c r="I35" s="2" t="str" cm="1">
        <f t="array" ref="I35">IFERROR(INDEX('Budget Planning'!$C:$C, Header_Row_ID),"")</f>
        <v>Expenses</v>
      </c>
      <c r="J35" t="str" cm="1">
        <f t="array" ref="J35">IFERROR(INDEX('Budget Planning'!$C:$C, Row_ID),"")</f>
        <v>WoodWork_Workshop</v>
      </c>
      <c r="K35" s="62" cm="1">
        <f t="array" aca="1" ref="K35"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35" s="62" cm="1">
        <f t="array" aca="1" ref="L35"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250000</v>
      </c>
      <c r="M35" s="62" cm="1">
        <f t="array" aca="1" ref="M35"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35" s="63" cm="1">
        <f t="array" aca="1" ref="N35" ca="1">IF(OR(IS_Header,IS_Empty),"",
  INDEX('Budget Planning'!$E:$EM,Row_ID,
   MATCH(IF(Selected_Period = "Total Year", Selected_Year, DATE(Selected_Year,Selected_Period,1)),'Budget Planning'!$E$9:$CI$9,0) ))</f>
        <v>0</v>
      </c>
      <c r="O35" s="2" cm="1">
        <f t="array" aca="1" ref="O35" ca="1">IF(IS_Cat,
  IF(Header_Row_ID = Income_Header_Row, MATCH(Income_Min_Row, $C:$C, 0),
   IF(Header_Row_ID = Expenses_Header_Row, MATCH(Expenses_Min_Row, $C:$C, 0),
    IF(Header_Row_ID = Savings_Header_Row, MATCH(Savings_Min_Row, $C:$C, 0),""))), "")</f>
        <v>20</v>
      </c>
      <c r="P35" s="3" cm="1">
        <f t="array" aca="1" ref="P35" ca="1">IF(IS_Cat,
  IF(Header_Row_ID = Income_Header_Row, MATCH(Income_Max_Row, $C:$C, 0),
   IF(Header_Row_ID = Expenses_Header_Row, MATCH(Expenses_Max_Row, $C:$C, 0),
    IF(Header_Row_ID = Savings_Header_Row, MATCH(Savings_Max_Row, $C:$C, 0),""))), "")</f>
        <v>40</v>
      </c>
      <c r="Q35" s="2" t="str">
        <f t="shared" ca="1" si="3"/>
        <v>$K$20:$K$40</v>
      </c>
      <c r="R35">
        <f t="shared" ca="1" si="4"/>
        <v>9</v>
      </c>
      <c r="S35" t="str">
        <f t="shared" ca="1" si="5"/>
        <v>$L$20:$L$40</v>
      </c>
      <c r="T35">
        <f t="shared" ca="1" si="6"/>
        <v>3</v>
      </c>
      <c r="U35" t="str">
        <f t="shared" ca="1" si="7"/>
        <v>$M$20:$M$40</v>
      </c>
      <c r="V35">
        <f t="shared" ca="1" si="8"/>
        <v>1</v>
      </c>
      <c r="W35" t="str">
        <f t="shared" ca="1" si="9"/>
        <v>$N$20:$N$40</v>
      </c>
      <c r="X35" s="3">
        <f t="shared" ca="1" si="10"/>
        <v>1</v>
      </c>
      <c r="Y35">
        <f t="shared" ca="1" si="11"/>
        <v>91</v>
      </c>
      <c r="Z35" t="str">
        <f t="shared" ca="1" si="12"/>
        <v>$Y$20:$Y$40</v>
      </c>
      <c r="AA35">
        <f t="shared" ca="1" si="13"/>
        <v>9</v>
      </c>
      <c r="AB35" t="str">
        <f t="shared" ca="1" si="14"/>
        <v>$AA$20:$AA$35</v>
      </c>
      <c r="AC35" s="3">
        <f t="shared" ca="1" si="15"/>
        <v>15</v>
      </c>
      <c r="AD35" s="65">
        <f t="shared" ca="1" si="24"/>
        <v>37</v>
      </c>
      <c r="AE35" s="66" t="str">
        <f t="shared" ca="1" si="16"/>
        <v>Tosrif</v>
      </c>
      <c r="AF35" s="69">
        <f t="shared" ca="1" si="25"/>
        <v>0</v>
      </c>
      <c r="AG35" s="69">
        <f t="shared" ca="1" si="18"/>
        <v>0</v>
      </c>
      <c r="AH35" s="69">
        <f t="shared" ca="1" si="19"/>
        <v>0</v>
      </c>
      <c r="AI35" s="69">
        <f t="shared" ca="1" si="20"/>
        <v>0</v>
      </c>
      <c r="AJ35" s="68" t="str">
        <f t="shared" ca="1" si="21"/>
        <v>-</v>
      </c>
      <c r="AK35" s="69">
        <f t="shared" ca="1" si="22"/>
        <v>0</v>
      </c>
      <c r="AL35" s="69">
        <f t="shared" ca="1" si="23"/>
        <v>0</v>
      </c>
      <c r="AN35" s="2"/>
      <c r="AQ35" s="83" t="str">
        <f>Calculations!K45</f>
        <v>Total</v>
      </c>
      <c r="AR35" s="83" t="str">
        <f ca="1">Calculations!L45 &amp; " $ ,   " &amp; Calculations!M45 &amp;" LBP ,   " &amp; Calculations!N45 &amp;" €"</f>
        <v>566.5 $ ,   310000 LBP ,   0 €</v>
      </c>
      <c r="AS35" s="3"/>
      <c r="AU35" s="2"/>
      <c r="AX35" s="83" t="str">
        <f>Calculations!Q45</f>
        <v>Total</v>
      </c>
      <c r="AY35" s="83" t="str">
        <f ca="1">Calculations!R45 &amp; " $ ,   " &amp; Calculations!S45 &amp;" LBP ,   " &amp; Calculations!T45 &amp;" €"</f>
        <v>0 $ ,   0 LBP ,   0 €</v>
      </c>
      <c r="AZ35" s="3"/>
    </row>
    <row r="36" spans="3:52" x14ac:dyDescent="0.25">
      <c r="C36" s="2" cm="1">
        <f t="array" ref="C36">IF(C35 = -1, -1,
 IF(C35 &lt; Income_Max_Row, C35+1,
  IF(C35 = Income_Max_Row, Income_Total_Row,
   IF(C35 = Income_Total_Row, "/1",
    IF(C35 = "/1", Expenses_Header_Row,
     IF(C35 &lt; Expenses_Max_Row, C35+1,
      IF(C35 = Expenses_Max_Row, Expenses_Total_Row,
       IF(C35 = Expenses_Total_Row, "/2",
        IF(C35 = "/2", Savings_Header_Row,
         IF(C35 &lt; Savings_Max_Row, C35+1,
          IF(C35 = Savings_Max_Row, Savings_Total_Row, -1)))))))))))</f>
        <v>39</v>
      </c>
      <c r="D36" s="3">
        <f t="shared" si="0"/>
        <v>22</v>
      </c>
      <c r="E36" s="2" cm="1">
        <f t="array" ref="E36">1*OR(Row_ID = Income_Header_Row, Row_ID = Expenses_Header_Row, Row_ID = Savings_Header_Row)</f>
        <v>0</v>
      </c>
      <c r="F36">
        <f t="shared" si="1"/>
        <v>1</v>
      </c>
      <c r="G36" cm="1">
        <f t="array" ref="G36">1*OR(Row_ID = Income_Total_Row, Row_ID = Expenses_Total_Row, Row_ID = Savings_Total_Row)</f>
        <v>0</v>
      </c>
      <c r="H36" s="3">
        <f t="shared" si="2"/>
        <v>0</v>
      </c>
      <c r="I36" s="2" t="str" cm="1">
        <f t="array" ref="I36">IFERROR(INDEX('Budget Planning'!$C:$C, Header_Row_ID),"")</f>
        <v>Expenses</v>
      </c>
      <c r="J36" t="str" cm="1">
        <f t="array" ref="J36">IFERROR(INDEX('Budget Planning'!$C:$C, Row_ID),"")</f>
        <v>Tosrif</v>
      </c>
      <c r="K36" s="62" cm="1">
        <f t="array" aca="1" ref="K36"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36" s="62" cm="1">
        <f t="array" aca="1" ref="L36"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36" s="62" cm="1">
        <f t="array" aca="1" ref="M36"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36" s="63" cm="1">
        <f t="array" aca="1" ref="N36" ca="1">IF(OR(IS_Header,IS_Empty),"",
  INDEX('Budget Planning'!$E:$EM,Row_ID,
   MATCH(IF(Selected_Period = "Total Year", Selected_Year, DATE(Selected_Year,Selected_Period,1)),'Budget Planning'!$E$9:$CI$9,0) ))</f>
        <v>0</v>
      </c>
      <c r="O36" s="2" cm="1">
        <f t="array" aca="1" ref="O36" ca="1">IF(IS_Cat,
  IF(Header_Row_ID = Income_Header_Row, MATCH(Income_Min_Row, $C:$C, 0),
   IF(Header_Row_ID = Expenses_Header_Row, MATCH(Expenses_Min_Row, $C:$C, 0),
    IF(Header_Row_ID = Savings_Header_Row, MATCH(Savings_Min_Row, $C:$C, 0),""))), "")</f>
        <v>20</v>
      </c>
      <c r="P36" s="3" cm="1">
        <f t="array" aca="1" ref="P36" ca="1">IF(IS_Cat,
  IF(Header_Row_ID = Income_Header_Row, MATCH(Income_Max_Row, $C:$C, 0),
   IF(Header_Row_ID = Expenses_Header_Row, MATCH(Expenses_Max_Row, $C:$C, 0),
    IF(Header_Row_ID = Savings_Header_Row, MATCH(Savings_Max_Row, $C:$C, 0),""))), "")</f>
        <v>40</v>
      </c>
      <c r="Q36" s="2" t="str">
        <f t="shared" ca="1" si="3"/>
        <v>$K$20:$K$40</v>
      </c>
      <c r="R36">
        <f t="shared" ca="1" si="4"/>
        <v>9</v>
      </c>
      <c r="S36" t="str">
        <f t="shared" ca="1" si="5"/>
        <v>$L$20:$L$40</v>
      </c>
      <c r="T36">
        <f t="shared" ca="1" si="6"/>
        <v>5</v>
      </c>
      <c r="U36" t="str">
        <f t="shared" ca="1" si="7"/>
        <v>$M$20:$M$40</v>
      </c>
      <c r="V36">
        <f t="shared" ca="1" si="8"/>
        <v>1</v>
      </c>
      <c r="W36" t="str">
        <f t="shared" ca="1" si="9"/>
        <v>$N$20:$N$40</v>
      </c>
      <c r="X36" s="3">
        <f t="shared" ca="1" si="10"/>
        <v>1</v>
      </c>
      <c r="Y36">
        <f t="shared" ca="1" si="11"/>
        <v>91</v>
      </c>
      <c r="Z36" t="str">
        <f t="shared" ca="1" si="12"/>
        <v>$Y$20:$Y$40</v>
      </c>
      <c r="AA36">
        <f t="shared" ca="1" si="13"/>
        <v>9</v>
      </c>
      <c r="AB36" t="str">
        <f t="shared" ca="1" si="14"/>
        <v>$AA$20:$AA$36</v>
      </c>
      <c r="AC36" s="3">
        <f t="shared" ca="1" si="15"/>
        <v>16</v>
      </c>
      <c r="AD36" s="65">
        <f t="shared" ca="1" si="24"/>
        <v>38</v>
      </c>
      <c r="AE36" s="66" t="str">
        <f t="shared" ca="1" si="16"/>
        <v>Self_Improvement</v>
      </c>
      <c r="AF36" s="69">
        <f t="shared" ca="1" si="25"/>
        <v>0</v>
      </c>
      <c r="AG36" s="69">
        <f t="shared" ca="1" si="18"/>
        <v>0</v>
      </c>
      <c r="AH36" s="69">
        <f t="shared" ca="1" si="19"/>
        <v>0</v>
      </c>
      <c r="AI36" s="69">
        <f t="shared" ca="1" si="20"/>
        <v>0</v>
      </c>
      <c r="AJ36" s="68" t="str">
        <f t="shared" ca="1" si="21"/>
        <v>-</v>
      </c>
      <c r="AK36" s="69">
        <f t="shared" ca="1" si="22"/>
        <v>0</v>
      </c>
      <c r="AL36" s="69">
        <f t="shared" ca="1" si="23"/>
        <v>0</v>
      </c>
      <c r="AN36" s="2"/>
      <c r="AS36" s="3"/>
      <c r="AU36" s="2"/>
      <c r="AZ36" s="3"/>
    </row>
    <row r="37" spans="3:52" x14ac:dyDescent="0.25">
      <c r="C37" s="2" cm="1">
        <f t="array" ref="C37">IF(C36 = -1, -1,
 IF(C36 &lt; Income_Max_Row, C36+1,
  IF(C36 = Income_Max_Row, Income_Total_Row,
   IF(C36 = Income_Total_Row, "/1",
    IF(C36 = "/1", Expenses_Header_Row,
     IF(C36 &lt; Expenses_Max_Row, C36+1,
      IF(C36 = Expenses_Max_Row, Expenses_Total_Row,
       IF(C36 = Expenses_Total_Row, "/2",
        IF(C36 = "/2", Savings_Header_Row,
         IF(C36 &lt; Savings_Max_Row, C36+1,
          IF(C36 = Savings_Max_Row, Savings_Total_Row, -1)))))))))))</f>
        <v>40</v>
      </c>
      <c r="D37" s="3">
        <f t="shared" si="0"/>
        <v>22</v>
      </c>
      <c r="E37" s="2" cm="1">
        <f t="array" ref="E37">1*OR(Row_ID = Income_Header_Row, Row_ID = Expenses_Header_Row, Row_ID = Savings_Header_Row)</f>
        <v>0</v>
      </c>
      <c r="F37">
        <f t="shared" si="1"/>
        <v>1</v>
      </c>
      <c r="G37" cm="1">
        <f t="array" ref="G37">1*OR(Row_ID = Income_Total_Row, Row_ID = Expenses_Total_Row, Row_ID = Savings_Total_Row)</f>
        <v>0</v>
      </c>
      <c r="H37" s="3">
        <f t="shared" si="2"/>
        <v>0</v>
      </c>
      <c r="I37" s="2" t="str" cm="1">
        <f t="array" ref="I37">IFERROR(INDEX('Budget Planning'!$C:$C, Header_Row_ID),"")</f>
        <v>Expenses</v>
      </c>
      <c r="J37" t="str" cm="1">
        <f t="array" ref="J37">IFERROR(INDEX('Budget Planning'!$C:$C, Row_ID),"")</f>
        <v>Self_Improvement</v>
      </c>
      <c r="K37" s="62" cm="1">
        <f t="array" aca="1" ref="K37"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37" s="62" cm="1">
        <f t="array" aca="1" ref="L37"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37" s="62" cm="1">
        <f t="array" aca="1" ref="M37"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37" s="63" cm="1">
        <f t="array" aca="1" ref="N37" ca="1">IF(OR(IS_Header,IS_Empty),"",
  INDEX('Budget Planning'!$E:$EM,Row_ID,
   MATCH(IF(Selected_Period = "Total Year", Selected_Year, DATE(Selected_Year,Selected_Period,1)),'Budget Planning'!$E$9:$CI$9,0) ))</f>
        <v>0</v>
      </c>
      <c r="O37" s="2" cm="1">
        <f t="array" aca="1" ref="O37" ca="1">IF(IS_Cat,
  IF(Header_Row_ID = Income_Header_Row, MATCH(Income_Min_Row, $C:$C, 0),
   IF(Header_Row_ID = Expenses_Header_Row, MATCH(Expenses_Min_Row, $C:$C, 0),
    IF(Header_Row_ID = Savings_Header_Row, MATCH(Savings_Min_Row, $C:$C, 0),""))), "")</f>
        <v>20</v>
      </c>
      <c r="P37" s="3" cm="1">
        <f t="array" aca="1" ref="P37" ca="1">IF(IS_Cat,
  IF(Header_Row_ID = Income_Header_Row, MATCH(Income_Max_Row, $C:$C, 0),
   IF(Header_Row_ID = Expenses_Header_Row, MATCH(Expenses_Max_Row, $C:$C, 0),
    IF(Header_Row_ID = Savings_Header_Row, MATCH(Savings_Max_Row, $C:$C, 0),""))), "")</f>
        <v>40</v>
      </c>
      <c r="Q37" s="2" t="str">
        <f t="shared" ca="1" si="3"/>
        <v>$K$20:$K$40</v>
      </c>
      <c r="R37">
        <f t="shared" ca="1" si="4"/>
        <v>9</v>
      </c>
      <c r="S37" t="str">
        <f t="shared" ca="1" si="5"/>
        <v>$L$20:$L$40</v>
      </c>
      <c r="T37">
        <f t="shared" ca="1" si="6"/>
        <v>5</v>
      </c>
      <c r="U37" t="str">
        <f t="shared" ca="1" si="7"/>
        <v>$M$20:$M$40</v>
      </c>
      <c r="V37">
        <f t="shared" ca="1" si="8"/>
        <v>1</v>
      </c>
      <c r="W37" t="str">
        <f t="shared" ca="1" si="9"/>
        <v>$N$20:$N$40</v>
      </c>
      <c r="X37" s="3">
        <f t="shared" ca="1" si="10"/>
        <v>1</v>
      </c>
      <c r="Y37">
        <f t="shared" ca="1" si="11"/>
        <v>91</v>
      </c>
      <c r="Z37" t="str">
        <f t="shared" ca="1" si="12"/>
        <v>$Y$20:$Y$40</v>
      </c>
      <c r="AA37">
        <f t="shared" ca="1" si="13"/>
        <v>9</v>
      </c>
      <c r="AB37" t="str">
        <f t="shared" ca="1" si="14"/>
        <v>$AA$20:$AA$37</v>
      </c>
      <c r="AC37" s="3">
        <f t="shared" ca="1" si="15"/>
        <v>17</v>
      </c>
      <c r="AD37" s="65">
        <f t="shared" ca="1" si="24"/>
        <v>39</v>
      </c>
      <c r="AE37" s="66" t="str">
        <f t="shared" ca="1" si="16"/>
        <v>Education</v>
      </c>
      <c r="AF37" s="69">
        <f t="shared" ca="1" si="25"/>
        <v>0</v>
      </c>
      <c r="AG37" s="69">
        <f t="shared" ca="1" si="18"/>
        <v>0</v>
      </c>
      <c r="AH37" s="69">
        <f t="shared" ca="1" si="19"/>
        <v>0</v>
      </c>
      <c r="AI37" s="69">
        <f t="shared" ca="1" si="20"/>
        <v>0</v>
      </c>
      <c r="AJ37" s="68" t="str">
        <f t="shared" ca="1" si="21"/>
        <v>-</v>
      </c>
      <c r="AK37" s="69">
        <f t="shared" ca="1" si="22"/>
        <v>0</v>
      </c>
      <c r="AL37" s="69">
        <f t="shared" ca="1" si="23"/>
        <v>0</v>
      </c>
      <c r="AN37" s="4"/>
      <c r="AO37" s="5"/>
      <c r="AP37" s="5"/>
      <c r="AQ37" s="5"/>
      <c r="AR37" s="5"/>
      <c r="AS37" s="6"/>
      <c r="AU37" s="4"/>
      <c r="AV37" s="5"/>
      <c r="AW37" s="5"/>
      <c r="AX37" s="5"/>
      <c r="AY37" s="5"/>
      <c r="AZ37" s="6"/>
    </row>
    <row r="38" spans="3:52" x14ac:dyDescent="0.25">
      <c r="C38" s="2" cm="1">
        <f t="array" ref="C38">IF(C37 = -1, -1,
 IF(C37 &lt; Income_Max_Row, C37+1,
  IF(C37 = Income_Max_Row, Income_Total_Row,
   IF(C37 = Income_Total_Row, "/1",
    IF(C37 = "/1", Expenses_Header_Row,
     IF(C37 &lt; Expenses_Max_Row, C37+1,
      IF(C37 = Expenses_Max_Row, Expenses_Total_Row,
       IF(C37 = Expenses_Total_Row, "/2",
        IF(C37 = "/2", Savings_Header_Row,
         IF(C37 &lt; Savings_Max_Row, C37+1,
          IF(C37 = Savings_Max_Row, Savings_Total_Row, -1)))))))))))</f>
        <v>41</v>
      </c>
      <c r="D38" s="3">
        <f t="shared" si="0"/>
        <v>22</v>
      </c>
      <c r="E38" s="2" cm="1">
        <f t="array" ref="E38">1*OR(Row_ID = Income_Header_Row, Row_ID = Expenses_Header_Row, Row_ID = Savings_Header_Row)</f>
        <v>0</v>
      </c>
      <c r="F38">
        <f t="shared" si="1"/>
        <v>1</v>
      </c>
      <c r="G38" cm="1">
        <f t="array" ref="G38">1*OR(Row_ID = Income_Total_Row, Row_ID = Expenses_Total_Row, Row_ID = Savings_Total_Row)</f>
        <v>0</v>
      </c>
      <c r="H38" s="3">
        <f t="shared" si="2"/>
        <v>0</v>
      </c>
      <c r="I38" s="2" t="str" cm="1">
        <f t="array" ref="I38">IFERROR(INDEX('Budget Planning'!$C:$C, Header_Row_ID),"")</f>
        <v>Expenses</v>
      </c>
      <c r="J38" t="str" cm="1">
        <f t="array" ref="J38">IFERROR(INDEX('Budget Planning'!$C:$C, Row_ID),"")</f>
        <v>Education</v>
      </c>
      <c r="K38" s="62" cm="1">
        <f t="array" aca="1" ref="K38"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38" s="62" cm="1">
        <f t="array" aca="1" ref="L38"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38" s="62" cm="1">
        <f t="array" aca="1" ref="M38"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38" s="63" cm="1">
        <f t="array" aca="1" ref="N38" ca="1">IF(OR(IS_Header,IS_Empty),"",
  INDEX('Budget Planning'!$E:$EM,Row_ID,
   MATCH(IF(Selected_Period = "Total Year", Selected_Year, DATE(Selected_Year,Selected_Period,1)),'Budget Planning'!$E$9:$CI$9,0) ))</f>
        <v>0</v>
      </c>
      <c r="O38" s="2" cm="1">
        <f t="array" aca="1" ref="O38" ca="1">IF(IS_Cat,
  IF(Header_Row_ID = Income_Header_Row, MATCH(Income_Min_Row, $C:$C, 0),
   IF(Header_Row_ID = Expenses_Header_Row, MATCH(Expenses_Min_Row, $C:$C, 0),
    IF(Header_Row_ID = Savings_Header_Row, MATCH(Savings_Min_Row, $C:$C, 0),""))), "")</f>
        <v>20</v>
      </c>
      <c r="P38" s="3" cm="1">
        <f t="array" aca="1" ref="P38" ca="1">IF(IS_Cat,
  IF(Header_Row_ID = Income_Header_Row, MATCH(Income_Max_Row, $C:$C, 0),
   IF(Header_Row_ID = Expenses_Header_Row, MATCH(Expenses_Max_Row, $C:$C, 0),
    IF(Header_Row_ID = Savings_Header_Row, MATCH(Savings_Max_Row, $C:$C, 0),""))), "")</f>
        <v>40</v>
      </c>
      <c r="Q38" s="2" t="str">
        <f t="shared" ca="1" si="3"/>
        <v>$K$20:$K$40</v>
      </c>
      <c r="R38">
        <f t="shared" ca="1" si="4"/>
        <v>9</v>
      </c>
      <c r="S38" t="str">
        <f t="shared" ca="1" si="5"/>
        <v>$L$20:$L$40</v>
      </c>
      <c r="T38">
        <f t="shared" ca="1" si="6"/>
        <v>5</v>
      </c>
      <c r="U38" t="str">
        <f t="shared" ca="1" si="7"/>
        <v>$M$20:$M$40</v>
      </c>
      <c r="V38">
        <f t="shared" ca="1" si="8"/>
        <v>1</v>
      </c>
      <c r="W38" t="str">
        <f t="shared" ca="1" si="9"/>
        <v>$N$20:$N$40</v>
      </c>
      <c r="X38" s="3">
        <f t="shared" ca="1" si="10"/>
        <v>1</v>
      </c>
      <c r="Y38">
        <f t="shared" ca="1" si="11"/>
        <v>91</v>
      </c>
      <c r="Z38" t="str">
        <f t="shared" ca="1" si="12"/>
        <v>$Y$20:$Y$40</v>
      </c>
      <c r="AA38">
        <f t="shared" ca="1" si="13"/>
        <v>9</v>
      </c>
      <c r="AB38" t="str">
        <f t="shared" ca="1" si="14"/>
        <v>$AA$20:$AA$38</v>
      </c>
      <c r="AC38" s="3">
        <f t="shared" ca="1" si="15"/>
        <v>18</v>
      </c>
      <c r="AD38" s="65">
        <f t="shared" ca="1" si="24"/>
        <v>40</v>
      </c>
      <c r="AE38" s="66" t="str">
        <f t="shared" ca="1" si="16"/>
        <v>Family_Support</v>
      </c>
      <c r="AF38" s="69">
        <f t="shared" ca="1" si="25"/>
        <v>0</v>
      </c>
      <c r="AG38" s="69">
        <f t="shared" ca="1" si="18"/>
        <v>0</v>
      </c>
      <c r="AH38" s="69">
        <f t="shared" ca="1" si="19"/>
        <v>0</v>
      </c>
      <c r="AI38" s="69">
        <f t="shared" ca="1" si="20"/>
        <v>0</v>
      </c>
      <c r="AJ38" s="68" t="str">
        <f t="shared" ca="1" si="21"/>
        <v>-</v>
      </c>
      <c r="AK38" s="69">
        <f t="shared" ca="1" si="22"/>
        <v>0</v>
      </c>
      <c r="AL38" s="69">
        <f t="shared" ca="1" si="23"/>
        <v>0</v>
      </c>
    </row>
    <row r="39" spans="3:52" x14ac:dyDescent="0.25">
      <c r="C39" s="2" cm="1">
        <f t="array" ref="C39">IF(C38 = -1, -1,
 IF(C38 &lt; Income_Max_Row, C38+1,
  IF(C38 = Income_Max_Row, Income_Total_Row,
   IF(C38 = Income_Total_Row, "/1",
    IF(C38 = "/1", Expenses_Header_Row,
     IF(C38 &lt; Expenses_Max_Row, C38+1,
      IF(C38 = Expenses_Max_Row, Expenses_Total_Row,
       IF(C38 = Expenses_Total_Row, "/2",
        IF(C38 = "/2", Savings_Header_Row,
         IF(C38 &lt; Savings_Max_Row, C38+1,
          IF(C38 = Savings_Max_Row, Savings_Total_Row, -1)))))))))))</f>
        <v>42</v>
      </c>
      <c r="D39" s="3">
        <f t="shared" si="0"/>
        <v>22</v>
      </c>
      <c r="E39" s="2" cm="1">
        <f t="array" ref="E39">1*OR(Row_ID = Income_Header_Row, Row_ID = Expenses_Header_Row, Row_ID = Savings_Header_Row)</f>
        <v>0</v>
      </c>
      <c r="F39">
        <f t="shared" si="1"/>
        <v>1</v>
      </c>
      <c r="G39" cm="1">
        <f t="array" ref="G39">1*OR(Row_ID = Income_Total_Row, Row_ID = Expenses_Total_Row, Row_ID = Savings_Total_Row)</f>
        <v>0</v>
      </c>
      <c r="H39" s="3">
        <f t="shared" si="2"/>
        <v>0</v>
      </c>
      <c r="I39" s="2" t="str" cm="1">
        <f t="array" ref="I39">IFERROR(INDEX('Budget Planning'!$C:$C, Header_Row_ID),"")</f>
        <v>Expenses</v>
      </c>
      <c r="J39" t="str" cm="1">
        <f t="array" ref="J39">IFERROR(INDEX('Budget Planning'!$C:$C, Row_ID),"")</f>
        <v>Family_Support</v>
      </c>
      <c r="K39" s="62" cm="1">
        <f t="array" aca="1" ref="K39"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39" s="62" cm="1">
        <f t="array" aca="1" ref="L39"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39" s="62" cm="1">
        <f t="array" aca="1" ref="M39"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39" s="63" cm="1">
        <f t="array" aca="1" ref="N39" ca="1">IF(OR(IS_Header,IS_Empty),"",
  INDEX('Budget Planning'!$E:$EM,Row_ID,
   MATCH(IF(Selected_Period = "Total Year", Selected_Year, DATE(Selected_Year,Selected_Period,1)),'Budget Planning'!$E$9:$CI$9,0) ))</f>
        <v>0</v>
      </c>
      <c r="O39" s="2" cm="1">
        <f t="array" aca="1" ref="O39" ca="1">IF(IS_Cat,
  IF(Header_Row_ID = Income_Header_Row, MATCH(Income_Min_Row, $C:$C, 0),
   IF(Header_Row_ID = Expenses_Header_Row, MATCH(Expenses_Min_Row, $C:$C, 0),
    IF(Header_Row_ID = Savings_Header_Row, MATCH(Savings_Min_Row, $C:$C, 0),""))), "")</f>
        <v>20</v>
      </c>
      <c r="P39" s="3" cm="1">
        <f t="array" aca="1" ref="P39" ca="1">IF(IS_Cat,
  IF(Header_Row_ID = Income_Header_Row, MATCH(Income_Max_Row, $C:$C, 0),
   IF(Header_Row_ID = Expenses_Header_Row, MATCH(Expenses_Max_Row, $C:$C, 0),
    IF(Header_Row_ID = Savings_Header_Row, MATCH(Savings_Max_Row, $C:$C, 0),""))), "")</f>
        <v>40</v>
      </c>
      <c r="Q39" s="2" t="str">
        <f t="shared" ca="1" si="3"/>
        <v>$K$20:$K$40</v>
      </c>
      <c r="R39">
        <f t="shared" ca="1" si="4"/>
        <v>9</v>
      </c>
      <c r="S39" t="str">
        <f t="shared" ca="1" si="5"/>
        <v>$L$20:$L$40</v>
      </c>
      <c r="T39">
        <f t="shared" ca="1" si="6"/>
        <v>5</v>
      </c>
      <c r="U39" t="str">
        <f t="shared" ca="1" si="7"/>
        <v>$M$20:$M$40</v>
      </c>
      <c r="V39">
        <f t="shared" ca="1" si="8"/>
        <v>1</v>
      </c>
      <c r="W39" t="str">
        <f t="shared" ca="1" si="9"/>
        <v>$N$20:$N$40</v>
      </c>
      <c r="X39" s="3">
        <f t="shared" ca="1" si="10"/>
        <v>1</v>
      </c>
      <c r="Y39">
        <f t="shared" ca="1" si="11"/>
        <v>91</v>
      </c>
      <c r="Z39" t="str">
        <f t="shared" ca="1" si="12"/>
        <v>$Y$20:$Y$40</v>
      </c>
      <c r="AA39">
        <f t="shared" ca="1" si="13"/>
        <v>9</v>
      </c>
      <c r="AB39" t="str">
        <f t="shared" ca="1" si="14"/>
        <v>$AA$20:$AA$39</v>
      </c>
      <c r="AC39" s="3">
        <f t="shared" ca="1" si="15"/>
        <v>19</v>
      </c>
      <c r="AD39" s="65">
        <f t="shared" ca="1" si="24"/>
        <v>41</v>
      </c>
      <c r="AE39" s="66" t="str">
        <f t="shared" ca="1" si="16"/>
        <v>Insurance</v>
      </c>
      <c r="AF39" s="69">
        <f t="shared" ca="1" si="25"/>
        <v>0</v>
      </c>
      <c r="AG39" s="69">
        <f t="shared" ca="1" si="18"/>
        <v>0</v>
      </c>
      <c r="AH39" s="69">
        <f t="shared" ca="1" si="19"/>
        <v>0</v>
      </c>
      <c r="AI39" s="69">
        <f t="shared" ca="1" si="20"/>
        <v>0</v>
      </c>
      <c r="AJ39" s="68" t="str">
        <f t="shared" ca="1" si="21"/>
        <v>-</v>
      </c>
      <c r="AK39" s="69">
        <f t="shared" ca="1" si="22"/>
        <v>0</v>
      </c>
      <c r="AL39" s="69">
        <f t="shared" ca="1" si="23"/>
        <v>0</v>
      </c>
    </row>
    <row r="40" spans="3:52" x14ac:dyDescent="0.25">
      <c r="C40" s="2" cm="1">
        <f t="array" ref="C40">IF(C39 = -1, -1,
 IF(C39 &lt; Income_Max_Row, C39+1,
  IF(C39 = Income_Max_Row, Income_Total_Row,
   IF(C39 = Income_Total_Row, "/1",
    IF(C39 = "/1", Expenses_Header_Row,
     IF(C39 &lt; Expenses_Max_Row, C39+1,
      IF(C39 = Expenses_Max_Row, Expenses_Total_Row,
       IF(C39 = Expenses_Total_Row, "/2",
        IF(C39 = "/2", Savings_Header_Row,
         IF(C39 &lt; Savings_Max_Row, C39+1,
          IF(C39 = Savings_Max_Row, Savings_Total_Row, -1)))))))))))</f>
        <v>43</v>
      </c>
      <c r="D40" s="3">
        <f t="shared" si="0"/>
        <v>22</v>
      </c>
      <c r="E40" s="2" cm="1">
        <f t="array" ref="E40">1*OR(Row_ID = Income_Header_Row, Row_ID = Expenses_Header_Row, Row_ID = Savings_Header_Row)</f>
        <v>0</v>
      </c>
      <c r="F40">
        <f t="shared" si="1"/>
        <v>1</v>
      </c>
      <c r="G40" cm="1">
        <f t="array" ref="G40">1*OR(Row_ID = Income_Total_Row, Row_ID = Expenses_Total_Row, Row_ID = Savings_Total_Row)</f>
        <v>0</v>
      </c>
      <c r="H40" s="3">
        <f t="shared" si="2"/>
        <v>0</v>
      </c>
      <c r="I40" s="2" t="str" cm="1">
        <f t="array" ref="I40">IFERROR(INDEX('Budget Planning'!$C:$C, Header_Row_ID),"")</f>
        <v>Expenses</v>
      </c>
      <c r="J40" t="str" cm="1">
        <f t="array" ref="J40">IFERROR(INDEX('Budget Planning'!$C:$C, Row_ID),"")</f>
        <v>Insurance</v>
      </c>
      <c r="K40" s="62" cm="1">
        <f t="array" aca="1" ref="K40"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40" s="62" cm="1">
        <f t="array" aca="1" ref="L40"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40" s="62" cm="1">
        <f t="array" aca="1" ref="M40"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40" s="63" cm="1">
        <f t="array" aca="1" ref="N40" ca="1">IF(OR(IS_Header,IS_Empty),"",
  INDEX('Budget Planning'!$E:$EM,Row_ID,
   MATCH(IF(Selected_Period = "Total Year", Selected_Year, DATE(Selected_Year,Selected_Period,1)),'Budget Planning'!$E$9:$CI$9,0) ))</f>
        <v>0</v>
      </c>
      <c r="O40" s="2" cm="1">
        <f t="array" aca="1" ref="O40" ca="1">IF(IS_Cat,
  IF(Header_Row_ID = Income_Header_Row, MATCH(Income_Min_Row, $C:$C, 0),
   IF(Header_Row_ID = Expenses_Header_Row, MATCH(Expenses_Min_Row, $C:$C, 0),
    IF(Header_Row_ID = Savings_Header_Row, MATCH(Savings_Min_Row, $C:$C, 0),""))), "")</f>
        <v>20</v>
      </c>
      <c r="P40" s="3" cm="1">
        <f t="array" aca="1" ref="P40" ca="1">IF(IS_Cat,
  IF(Header_Row_ID = Income_Header_Row, MATCH(Income_Max_Row, $C:$C, 0),
   IF(Header_Row_ID = Expenses_Header_Row, MATCH(Expenses_Max_Row, $C:$C, 0),
    IF(Header_Row_ID = Savings_Header_Row, MATCH(Savings_Max_Row, $C:$C, 0),""))), "")</f>
        <v>40</v>
      </c>
      <c r="Q40" s="2" t="str">
        <f t="shared" ca="1" si="3"/>
        <v>$K$20:$K$40</v>
      </c>
      <c r="R40">
        <f t="shared" ca="1" si="4"/>
        <v>9</v>
      </c>
      <c r="S40" t="str">
        <f t="shared" ca="1" si="5"/>
        <v>$L$20:$L$40</v>
      </c>
      <c r="T40">
        <f t="shared" ca="1" si="6"/>
        <v>5</v>
      </c>
      <c r="U40" t="str">
        <f t="shared" ca="1" si="7"/>
        <v>$M$20:$M$40</v>
      </c>
      <c r="V40">
        <f t="shared" ca="1" si="8"/>
        <v>1</v>
      </c>
      <c r="W40" t="str">
        <f t="shared" ca="1" si="9"/>
        <v>$N$20:$N$40</v>
      </c>
      <c r="X40" s="3">
        <f t="shared" ca="1" si="10"/>
        <v>1</v>
      </c>
      <c r="Y40">
        <f t="shared" ca="1" si="11"/>
        <v>91</v>
      </c>
      <c r="Z40" t="str">
        <f t="shared" ca="1" si="12"/>
        <v>$Y$20:$Y$40</v>
      </c>
      <c r="AA40">
        <f t="shared" ca="1" si="13"/>
        <v>9</v>
      </c>
      <c r="AB40" t="str">
        <f t="shared" ca="1" si="14"/>
        <v>$AA$20:$AA$40</v>
      </c>
      <c r="AC40" s="3">
        <f t="shared" ca="1" si="15"/>
        <v>20</v>
      </c>
      <c r="AD40" s="65">
        <f t="shared" ca="1" si="24"/>
        <v>42</v>
      </c>
      <c r="AE40" s="66" t="str">
        <f t="shared" ca="1" si="16"/>
        <v>Utilities</v>
      </c>
      <c r="AF40" s="69">
        <f t="shared" ca="1" si="17"/>
        <v>-10</v>
      </c>
      <c r="AG40" s="69">
        <f t="shared" ca="1" si="18"/>
        <v>-820000</v>
      </c>
      <c r="AH40" s="69">
        <f t="shared" ca="1" si="19"/>
        <v>0</v>
      </c>
      <c r="AI40" s="69">
        <f t="shared" ca="1" si="20"/>
        <v>0</v>
      </c>
      <c r="AJ40" s="68" t="str">
        <f t="shared" ca="1" si="21"/>
        <v>-</v>
      </c>
      <c r="AK40" s="69">
        <f t="shared" ca="1" si="22"/>
        <v>10</v>
      </c>
      <c r="AL40" s="69">
        <f t="shared" ca="1" si="23"/>
        <v>0</v>
      </c>
    </row>
    <row r="41" spans="3:52" x14ac:dyDescent="0.25">
      <c r="C41" s="2" cm="1">
        <f t="array" ref="C41">IF(C40 = -1, -1,
 IF(C40 &lt; Income_Max_Row, C40+1,
  IF(C40 = Income_Max_Row, Income_Total_Row,
   IF(C40 = Income_Total_Row, "/1",
    IF(C40 = "/1", Expenses_Header_Row,
     IF(C40 &lt; Expenses_Max_Row, C40+1,
      IF(C40 = Expenses_Max_Row, Expenses_Total_Row,
       IF(C40 = Expenses_Total_Row, "/2",
        IF(C40 = "/2", Savings_Header_Row,
         IF(C40 &lt; Savings_Max_Row, C40+1,
          IF(C40 = Savings_Max_Row, Savings_Total_Row, -1)))))))))))</f>
        <v>68</v>
      </c>
      <c r="D41" s="3">
        <f t="shared" si="0"/>
        <v>22</v>
      </c>
      <c r="E41" s="2" cm="1">
        <f t="array" ref="E41">1*OR(Row_ID = Income_Header_Row, Row_ID = Expenses_Header_Row, Row_ID = Savings_Header_Row)</f>
        <v>0</v>
      </c>
      <c r="F41">
        <f t="shared" si="1"/>
        <v>0</v>
      </c>
      <c r="G41" cm="1">
        <f t="array" ref="G41">1*OR(Row_ID = Income_Total_Row, Row_ID = Expenses_Total_Row, Row_ID = Savings_Total_Row)</f>
        <v>1</v>
      </c>
      <c r="H41" s="3">
        <f t="shared" si="2"/>
        <v>0</v>
      </c>
      <c r="I41" s="2" t="str" cm="1">
        <f t="array" ref="I41">IFERROR(INDEX('Budget Planning'!$C:$C, Header_Row_ID),"")</f>
        <v>Expenses</v>
      </c>
      <c r="J41" t="str" cm="1">
        <f t="array" ref="J41">IFERROR(INDEX('Budget Planning'!$C:$C, Row_ID),"")</f>
        <v>Total</v>
      </c>
      <c r="K41" s="62" cm="1">
        <f t="array" aca="1" ref="K41"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566.5</v>
      </c>
      <c r="L41" s="62" cm="1">
        <f t="array" aca="1" ref="L41"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310000</v>
      </c>
      <c r="M41" s="62" cm="1">
        <f t="array" aca="1" ref="M41"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41" s="63" cm="1">
        <f t="array" aca="1" ref="N41" ca="1">IF(OR(IS_Header,IS_Empty),"",
  INDEX('Budget Planning'!$E:$EM,Row_ID,
   MATCH(IF(Selected_Period = "Total Year", Selected_Year, DATE(Selected_Year,Selected_Period,1)),'Budget Planning'!$E$9:$CI$9,0) ))</f>
        <v>0</v>
      </c>
      <c r="O41" s="2" t="str" cm="1">
        <f t="array" ref="O41">IF(IS_Cat,
  IF(Header_Row_ID = Income_Header_Row, MATCH(Income_Min_Row, $C:$C, 0),
   IF(Header_Row_ID = Expenses_Header_Row, MATCH(Expenses_Min_Row, $C:$C, 0),
    IF(Header_Row_ID = Savings_Header_Row, MATCH(Savings_Min_Row, $C:$C, 0),""))), "")</f>
        <v/>
      </c>
      <c r="P41" s="3" t="str" cm="1">
        <f t="array" ref="P41">IF(IS_Cat,
  IF(Header_Row_ID = Income_Header_Row, MATCH(Income_Max_Row, $C:$C, 0),
   IF(Header_Row_ID = Expenses_Header_Row, MATCH(Expenses_Max_Row, $C:$C, 0),
    IF(Header_Row_ID = Savings_Header_Row, MATCH(Savings_Max_Row, $C:$C, 0),""))), "")</f>
        <v/>
      </c>
      <c r="Q41" s="2" t="str">
        <f t="shared" si="3"/>
        <v/>
      </c>
      <c r="R41" t="str">
        <f t="shared" ca="1" si="4"/>
        <v/>
      </c>
      <c r="S41" t="str">
        <f t="shared" si="5"/>
        <v/>
      </c>
      <c r="T41" t="str">
        <f t="shared" ca="1" si="6"/>
        <v/>
      </c>
      <c r="U41" t="str">
        <f t="shared" si="7"/>
        <v/>
      </c>
      <c r="V41" t="str">
        <f t="shared" ca="1" si="8"/>
        <v/>
      </c>
      <c r="W41" t="str">
        <f t="shared" si="9"/>
        <v/>
      </c>
      <c r="X41" s="3" t="str">
        <f t="shared" ca="1" si="10"/>
        <v/>
      </c>
      <c r="Y41" t="str">
        <f t="shared" si="11"/>
        <v/>
      </c>
      <c r="Z41" t="str">
        <f t="shared" si="12"/>
        <v/>
      </c>
      <c r="AA41" t="str">
        <f t="shared" ca="1" si="13"/>
        <v/>
      </c>
      <c r="AB41" t="str">
        <f t="shared" si="14"/>
        <v/>
      </c>
      <c r="AC41" s="3" t="str">
        <f t="shared" ca="1" si="15"/>
        <v/>
      </c>
      <c r="AD41" s="65">
        <f t="shared" si="24"/>
        <v>68</v>
      </c>
      <c r="AE41" s="66" t="str">
        <f t="shared" ca="1" si="16"/>
        <v>Total</v>
      </c>
      <c r="AF41" s="69">
        <f t="shared" ca="1" si="17"/>
        <v>566.5</v>
      </c>
      <c r="AG41" s="69">
        <f t="shared" ca="1" si="18"/>
        <v>310000</v>
      </c>
      <c r="AH41" s="69">
        <f t="shared" ca="1" si="19"/>
        <v>0</v>
      </c>
      <c r="AI41" s="69">
        <f t="shared" ca="1" si="20"/>
        <v>0</v>
      </c>
      <c r="AJ41" s="68" t="str">
        <f t="shared" ca="1" si="21"/>
        <v>-</v>
      </c>
      <c r="AK41" s="69">
        <f t="shared" ca="1" si="22"/>
        <v>0</v>
      </c>
      <c r="AL41" s="69">
        <f t="shared" ca="1" si="23"/>
        <v>566.5</v>
      </c>
    </row>
    <row r="42" spans="3:52" x14ac:dyDescent="0.25">
      <c r="C42" s="2" t="str" cm="1">
        <f t="array" ref="C42">IF(C41 = -1, -1,
 IF(C41 &lt; Income_Max_Row, C41+1,
  IF(C41 = Income_Max_Row, Income_Total_Row,
   IF(C41 = Income_Total_Row, "/1",
    IF(C41 = "/1", Expenses_Header_Row,
     IF(C41 &lt; Expenses_Max_Row, C41+1,
      IF(C41 = Expenses_Max_Row, Expenses_Total_Row,
       IF(C41 = Expenses_Total_Row, "/2",
        IF(C41 = "/2", Savings_Header_Row,
         IF(C41 &lt; Savings_Max_Row, C41+1,
          IF(C41 = Savings_Max_Row, Savings_Total_Row, -1)))))))))))</f>
        <v>/2</v>
      </c>
      <c r="D42" s="3">
        <f t="shared" si="0"/>
        <v>-1</v>
      </c>
      <c r="E42" s="2" cm="1">
        <f t="array" ref="E42">1*OR(Row_ID = Income_Header_Row, Row_ID = Expenses_Header_Row, Row_ID = Savings_Header_Row)</f>
        <v>0</v>
      </c>
      <c r="F42">
        <f t="shared" si="1"/>
        <v>0</v>
      </c>
      <c r="G42" cm="1">
        <f t="array" ref="G42">1*OR(Row_ID = Income_Total_Row, Row_ID = Expenses_Total_Row, Row_ID = Savings_Total_Row)</f>
        <v>0</v>
      </c>
      <c r="H42" s="3">
        <f t="shared" si="2"/>
        <v>1</v>
      </c>
      <c r="I42" s="2" t="str" cm="1">
        <f t="array" ref="I42">IFERROR(INDEX('Budget Planning'!$C:$C, Header_Row_ID),"")</f>
        <v/>
      </c>
      <c r="J42" t="str" cm="1">
        <f t="array" ref="J42">IFERROR(INDEX('Budget Planning'!$C:$C, Row_ID),"")</f>
        <v/>
      </c>
      <c r="K42" s="62" t="str" cm="1">
        <f t="array" ref="K42">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42" s="62" t="str" cm="1">
        <f t="array" ref="L42">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42" s="62" t="str" cm="1">
        <f t="array" ref="M42">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42" s="63" t="str" cm="1">
        <f t="array" ref="N42">IF(OR(IS_Header,IS_Empty),"",
  INDEX('Budget Planning'!$E:$EM,Row_ID,
   MATCH(IF(Selected_Period = "Total Year", Selected_Year, DATE(Selected_Year,Selected_Period,1)),'Budget Planning'!$E$9:$CI$9,0) ))</f>
        <v/>
      </c>
      <c r="O42" s="2" t="str" cm="1">
        <f t="array" ref="O42">IF(IS_Cat,
  IF(Header_Row_ID = Income_Header_Row, MATCH(Income_Min_Row, $C:$C, 0),
   IF(Header_Row_ID = Expenses_Header_Row, MATCH(Expenses_Min_Row, $C:$C, 0),
    IF(Header_Row_ID = Savings_Header_Row, MATCH(Savings_Min_Row, $C:$C, 0),""))), "")</f>
        <v/>
      </c>
      <c r="P42" s="3" t="str" cm="1">
        <f t="array" ref="P42">IF(IS_Cat,
  IF(Header_Row_ID = Income_Header_Row, MATCH(Income_Max_Row, $C:$C, 0),
   IF(Header_Row_ID = Expenses_Header_Row, MATCH(Expenses_Max_Row, $C:$C, 0),
    IF(Header_Row_ID = Savings_Header_Row, MATCH(Savings_Max_Row, $C:$C, 0),""))), "")</f>
        <v/>
      </c>
      <c r="Q42" s="2" t="str">
        <f t="shared" si="3"/>
        <v/>
      </c>
      <c r="R42" t="str">
        <f t="shared" ca="1" si="4"/>
        <v/>
      </c>
      <c r="S42" t="str">
        <f t="shared" si="5"/>
        <v/>
      </c>
      <c r="T42" t="str">
        <f t="shared" ca="1" si="6"/>
        <v/>
      </c>
      <c r="U42" t="str">
        <f t="shared" si="7"/>
        <v/>
      </c>
      <c r="V42" t="str">
        <f t="shared" ca="1" si="8"/>
        <v/>
      </c>
      <c r="W42" t="str">
        <f t="shared" si="9"/>
        <v/>
      </c>
      <c r="X42" s="3" t="str">
        <f t="shared" ca="1" si="10"/>
        <v/>
      </c>
      <c r="Y42" t="str">
        <f t="shared" si="11"/>
        <v/>
      </c>
      <c r="Z42" t="str">
        <f t="shared" si="12"/>
        <v/>
      </c>
      <c r="AA42" t="str">
        <f t="shared" ca="1" si="13"/>
        <v/>
      </c>
      <c r="AB42" t="str">
        <f t="shared" si="14"/>
        <v/>
      </c>
      <c r="AC42" s="3" t="str">
        <f t="shared" ca="1" si="15"/>
        <v/>
      </c>
      <c r="AD42" s="65" t="str">
        <f t="shared" si="24"/>
        <v>/2</v>
      </c>
      <c r="AE42" s="66" t="str">
        <f t="shared" si="16"/>
        <v/>
      </c>
      <c r="AF42" s="69" t="str">
        <f t="shared" si="17"/>
        <v/>
      </c>
      <c r="AG42" s="69" t="str">
        <f t="shared" si="18"/>
        <v/>
      </c>
      <c r="AH42" s="69" t="str">
        <f t="shared" si="19"/>
        <v/>
      </c>
      <c r="AI42" s="69" t="str">
        <f t="shared" si="20"/>
        <v/>
      </c>
      <c r="AJ42" s="68" t="str">
        <f t="shared" si="21"/>
        <v/>
      </c>
      <c r="AK42" s="69" t="str">
        <f t="shared" si="22"/>
        <v/>
      </c>
      <c r="AL42" s="69" t="str">
        <f t="shared" si="23"/>
        <v/>
      </c>
    </row>
    <row r="43" spans="3:52" x14ac:dyDescent="0.25">
      <c r="C43" s="2" cm="1">
        <f t="array" ref="C43">IF(C42 = -1, -1,
 IF(C42 &lt; Income_Max_Row, C42+1,
  IF(C42 = Income_Max_Row, Income_Total_Row,
   IF(C42 = Income_Total_Row, "/1",
    IF(C42 = "/1", Expenses_Header_Row,
     IF(C42 &lt; Expenses_Max_Row, C42+1,
      IF(C42 = Expenses_Max_Row, Expenses_Total_Row,
       IF(C42 = Expenses_Total_Row, "/2",
        IF(C42 = "/2", Savings_Header_Row,
         IF(C42 &lt; Savings_Max_Row, C42+1,
          IF(C42 = Savings_Max_Row, Savings_Total_Row, -1)))))))))))</f>
        <v>70</v>
      </c>
      <c r="D43" s="3">
        <f t="shared" si="0"/>
        <v>70</v>
      </c>
      <c r="E43" s="2" cm="1">
        <f t="array" ref="E43">1*OR(Row_ID = Income_Header_Row, Row_ID = Expenses_Header_Row, Row_ID = Savings_Header_Row)</f>
        <v>1</v>
      </c>
      <c r="F43">
        <f t="shared" si="1"/>
        <v>0</v>
      </c>
      <c r="G43" cm="1">
        <f t="array" ref="G43">1*OR(Row_ID = Income_Total_Row, Row_ID = Expenses_Total_Row, Row_ID = Savings_Total_Row)</f>
        <v>0</v>
      </c>
      <c r="H43" s="3">
        <f t="shared" si="2"/>
        <v>0</v>
      </c>
      <c r="I43" s="2" t="str" cm="1">
        <f t="array" ref="I43">IFERROR(INDEX('Budget Planning'!$C:$C, Header_Row_ID),"")</f>
        <v>Savings</v>
      </c>
      <c r="J43" t="str" cm="1">
        <f t="array" ref="J43">IFERROR(INDEX('Budget Planning'!$C:$C, Row_ID),"")</f>
        <v>Savings</v>
      </c>
      <c r="K43" s="62" t="str" cm="1">
        <f t="array" ref="K43">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43" s="62" t="str" cm="1">
        <f t="array" ref="L43">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43" s="62" t="str" cm="1">
        <f t="array" ref="M43">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43" s="63" t="str" cm="1">
        <f t="array" ref="N43">IF(OR(IS_Header,IS_Empty),"",
  INDEX('Budget Planning'!$E:$EM,Row_ID,
   MATCH(IF(Selected_Period = "Total Year", Selected_Year, DATE(Selected_Year,Selected_Period,1)),'Budget Planning'!$E$9:$CI$9,0) ))</f>
        <v/>
      </c>
      <c r="O43" s="2" t="str" cm="1">
        <f t="array" ref="O43">IF(IS_Cat,
  IF(Header_Row_ID = Income_Header_Row, MATCH(Income_Min_Row, $C:$C, 0),
   IF(Header_Row_ID = Expenses_Header_Row, MATCH(Expenses_Min_Row, $C:$C, 0),
    IF(Header_Row_ID = Savings_Header_Row, MATCH(Savings_Min_Row, $C:$C, 0),""))), "")</f>
        <v/>
      </c>
      <c r="P43" s="3" t="str" cm="1">
        <f t="array" ref="P43">IF(IS_Cat,
  IF(Header_Row_ID = Income_Header_Row, MATCH(Income_Max_Row, $C:$C, 0),
   IF(Header_Row_ID = Expenses_Header_Row, MATCH(Expenses_Max_Row, $C:$C, 0),
    IF(Header_Row_ID = Savings_Header_Row, MATCH(Savings_Max_Row, $C:$C, 0),""))), "")</f>
        <v/>
      </c>
      <c r="Q43" s="2" t="str">
        <f t="shared" si="3"/>
        <v/>
      </c>
      <c r="R43" t="str">
        <f t="shared" ca="1" si="4"/>
        <v/>
      </c>
      <c r="S43" t="str">
        <f t="shared" si="5"/>
        <v/>
      </c>
      <c r="T43" t="str">
        <f t="shared" ca="1" si="6"/>
        <v/>
      </c>
      <c r="U43" t="str">
        <f t="shared" si="7"/>
        <v/>
      </c>
      <c r="V43" t="str">
        <f t="shared" ca="1" si="8"/>
        <v/>
      </c>
      <c r="W43" t="str">
        <f t="shared" si="9"/>
        <v/>
      </c>
      <c r="X43" s="3" t="str">
        <f t="shared" ca="1" si="10"/>
        <v/>
      </c>
      <c r="Y43" t="str">
        <f t="shared" si="11"/>
        <v/>
      </c>
      <c r="Z43" t="str">
        <f t="shared" si="12"/>
        <v/>
      </c>
      <c r="AA43" t="str">
        <f t="shared" ca="1" si="13"/>
        <v/>
      </c>
      <c r="AB43" t="str">
        <f t="shared" si="14"/>
        <v/>
      </c>
      <c r="AC43" s="3" t="str">
        <f t="shared" ca="1" si="15"/>
        <v/>
      </c>
      <c r="AD43" s="65">
        <f t="shared" si="24"/>
        <v>70</v>
      </c>
      <c r="AE43" s="66" t="str">
        <f t="shared" ca="1" si="16"/>
        <v>Savings</v>
      </c>
      <c r="AF43" s="69" t="str">
        <f t="shared" si="17"/>
        <v>Tracked $</v>
      </c>
      <c r="AG43" s="69" t="str">
        <f t="shared" si="18"/>
        <v>Tracked LBP</v>
      </c>
      <c r="AH43" s="69" t="str">
        <f t="shared" si="19"/>
        <v>Tracked €</v>
      </c>
      <c r="AI43" s="69" t="str">
        <f t="shared" si="20"/>
        <v>Budget</v>
      </c>
      <c r="AJ43" s="68" t="str">
        <f t="shared" si="21"/>
        <v>% Compl.</v>
      </c>
      <c r="AK43" s="69" t="str">
        <f t="shared" si="22"/>
        <v>Remaining</v>
      </c>
      <c r="AL43" s="69" t="str">
        <f t="shared" si="23"/>
        <v>Excess</v>
      </c>
    </row>
    <row r="44" spans="3:52" x14ac:dyDescent="0.25">
      <c r="C44" s="2" cm="1">
        <f t="array" ref="C44">IF(C43 = -1, -1,
 IF(C43 &lt; Income_Max_Row, C43+1,
  IF(C43 = Income_Max_Row, Income_Total_Row,
   IF(C43 = Income_Total_Row, "/1",
    IF(C43 = "/1", Expenses_Header_Row,
     IF(C43 &lt; Expenses_Max_Row, C43+1,
      IF(C43 = Expenses_Max_Row, Expenses_Total_Row,
       IF(C43 = Expenses_Total_Row, "/2",
        IF(C43 = "/2", Savings_Header_Row,
         IF(C43 &lt; Savings_Max_Row, C43+1,
          IF(C43 = Savings_Max_Row, Savings_Total_Row, -1)))))))))))</f>
        <v>71</v>
      </c>
      <c r="D44" s="3">
        <f t="shared" si="0"/>
        <v>70</v>
      </c>
      <c r="E44" s="2" cm="1">
        <f t="array" ref="E44">1*OR(Row_ID = Income_Header_Row, Row_ID = Expenses_Header_Row, Row_ID = Savings_Header_Row)</f>
        <v>0</v>
      </c>
      <c r="F44">
        <f t="shared" si="1"/>
        <v>1</v>
      </c>
      <c r="G44" cm="1">
        <f t="array" ref="G44">1*OR(Row_ID = Income_Total_Row, Row_ID = Expenses_Total_Row, Row_ID = Savings_Total_Row)</f>
        <v>0</v>
      </c>
      <c r="H44" s="3">
        <f t="shared" si="2"/>
        <v>0</v>
      </c>
      <c r="I44" s="2" t="str" cm="1">
        <f t="array" ref="I44">IFERROR(INDEX('Budget Planning'!$C:$C, Header_Row_ID),"")</f>
        <v>Savings</v>
      </c>
      <c r="J44" t="str" cm="1">
        <f t="array" ref="J44">IFERROR(INDEX('Budget Planning'!$C:$C, Row_ID),"")</f>
        <v>Savings</v>
      </c>
      <c r="K44" s="62" cm="1">
        <f t="array" aca="1" ref="K44"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44" s="62" cm="1">
        <f t="array" aca="1" ref="L44"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44" s="62" cm="1">
        <f t="array" aca="1" ref="M44"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44" s="63" cm="1">
        <f t="array" aca="1" ref="N44" ca="1">IF(OR(IS_Header,IS_Empty),"",
  INDEX('Budget Planning'!$E:$EM,Row_ID,
   MATCH(IF(Selected_Period = "Total Year", Selected_Year, DATE(Selected_Year,Selected_Period,1)),'Budget Planning'!$E$9:$CI$9,0) ))</f>
        <v>0</v>
      </c>
      <c r="O44" s="2" cm="1">
        <f t="array" aca="1" ref="O44" ca="1">IF(IS_Cat,
  IF(Header_Row_ID = Income_Header_Row, MATCH(Income_Min_Row, $C:$C, 0),
   IF(Header_Row_ID = Expenses_Header_Row, MATCH(Expenses_Min_Row, $C:$C, 0),
    IF(Header_Row_ID = Savings_Header_Row, MATCH(Savings_Min_Row, $C:$C, 0),""))), "")</f>
        <v>44</v>
      </c>
      <c r="P44" s="3" cm="1">
        <f t="array" aca="1" ref="P44" ca="1">IF(IS_Cat,
  IF(Header_Row_ID = Income_Header_Row, MATCH(Income_Max_Row, $C:$C, 0),
   IF(Header_Row_ID = Expenses_Header_Row, MATCH(Expenses_Max_Row, $C:$C, 0),
    IF(Header_Row_ID = Savings_Header_Row, MATCH(Savings_Max_Row, $C:$C, 0),""))), "")</f>
        <v>44</v>
      </c>
      <c r="Q44" s="2" t="str">
        <f t="shared" ca="1" si="3"/>
        <v>$K$44:$K$44</v>
      </c>
      <c r="R44">
        <f t="shared" ca="1" si="4"/>
        <v>1</v>
      </c>
      <c r="S44" t="str">
        <f t="shared" ca="1" si="5"/>
        <v>$L$44:$L$44</v>
      </c>
      <c r="T44">
        <f t="shared" ca="1" si="6"/>
        <v>1</v>
      </c>
      <c r="U44" t="str">
        <f t="shared" ca="1" si="7"/>
        <v>$M$44:$M$44</v>
      </c>
      <c r="V44">
        <f t="shared" ca="1" si="8"/>
        <v>1</v>
      </c>
      <c r="W44" t="str">
        <f t="shared" ca="1" si="9"/>
        <v>$N$44:$N$44</v>
      </c>
      <c r="X44" s="3">
        <f t="shared" ca="1" si="10"/>
        <v>1</v>
      </c>
      <c r="Y44">
        <f t="shared" ca="1" si="11"/>
        <v>11</v>
      </c>
      <c r="Z44" t="str">
        <f t="shared" ca="1" si="12"/>
        <v>$Y$44:$Y$44</v>
      </c>
      <c r="AA44">
        <f t="shared" ca="1" si="13"/>
        <v>1</v>
      </c>
      <c r="AB44" t="str">
        <f t="shared" ca="1" si="14"/>
        <v>$AA$44:$AA$44</v>
      </c>
      <c r="AC44" s="3">
        <f t="shared" ca="1" si="15"/>
        <v>1</v>
      </c>
      <c r="AD44" s="65">
        <f t="shared" ca="1" si="24"/>
        <v>71</v>
      </c>
      <c r="AE44" s="66" t="str">
        <f t="shared" ca="1" si="16"/>
        <v>Savings</v>
      </c>
      <c r="AF44" s="69">
        <f t="shared" ca="1" si="17"/>
        <v>0</v>
      </c>
      <c r="AG44" s="69">
        <f t="shared" ca="1" si="18"/>
        <v>0</v>
      </c>
      <c r="AH44" s="69">
        <f t="shared" ca="1" si="19"/>
        <v>0</v>
      </c>
      <c r="AI44" s="69">
        <f t="shared" ca="1" si="20"/>
        <v>0</v>
      </c>
      <c r="AJ44" s="68" t="str">
        <f t="shared" ca="1" si="21"/>
        <v>-</v>
      </c>
      <c r="AK44" s="69">
        <f t="shared" ca="1" si="22"/>
        <v>0</v>
      </c>
      <c r="AL44" s="69">
        <f t="shared" ca="1" si="23"/>
        <v>0</v>
      </c>
    </row>
    <row r="45" spans="3:52" x14ac:dyDescent="0.25">
      <c r="C45" s="2" cm="1">
        <f t="array" ref="C45">IF(C44 = -1, -1,
 IF(C44 &lt; Income_Max_Row, C44+1,
  IF(C44 = Income_Max_Row, Income_Total_Row,
   IF(C44 = Income_Total_Row, "/1",
    IF(C44 = "/1", Expenses_Header_Row,
     IF(C44 &lt; Expenses_Max_Row, C44+1,
      IF(C44 = Expenses_Max_Row, Expenses_Total_Row,
       IF(C44 = Expenses_Total_Row, "/2",
        IF(C44 = "/2", Savings_Header_Row,
         IF(C44 &lt; Savings_Max_Row, C44+1,
          IF(C44 = Savings_Max_Row, Savings_Total_Row, -1)))))))))))</f>
        <v>81</v>
      </c>
      <c r="D45" s="3">
        <f t="shared" ref="D45:D76" si="26">IF(IS_Header, Row_ID,
  IF(NOT(IS_Empty),D44,-1))</f>
        <v>70</v>
      </c>
      <c r="E45" s="2" cm="1">
        <f t="array" ref="E45">1*OR(Row_ID = Income_Header_Row, Row_ID = Expenses_Header_Row, Row_ID = Savings_Header_Row)</f>
        <v>0</v>
      </c>
      <c r="F45">
        <f t="shared" ref="F45:F76" si="27">1*NOT(OR(IS_Header, IS_Total, IS_Empty))</f>
        <v>0</v>
      </c>
      <c r="G45" cm="1">
        <f t="array" ref="G45">1*OR(Row_ID = Income_Total_Row, Row_ID = Expenses_Total_Row, Row_ID = Savings_Total_Row)</f>
        <v>1</v>
      </c>
      <c r="H45" s="3">
        <f t="shared" ref="H45:H76" si="28">1*OR(Row_ID = "/1", Row_ID = "/2", Row_ID = - 1)</f>
        <v>0</v>
      </c>
      <c r="I45" s="2" t="str" cm="1">
        <f t="array" ref="I45">IFERROR(INDEX('Budget Planning'!$C:$C, Header_Row_ID),"")</f>
        <v>Savings</v>
      </c>
      <c r="J45" t="str" cm="1">
        <f t="array" ref="J45">IFERROR(INDEX('Budget Planning'!$C:$C, Row_ID),"")</f>
        <v>Total</v>
      </c>
      <c r="K45" s="62" cm="1">
        <f t="array" aca="1" ref="K45"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L45" s="62" cm="1">
        <f t="array" aca="1" ref="L45" ca="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0</v>
      </c>
      <c r="M45" s="62" cm="1">
        <f t="array" aca="1" ref="M45" ca="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0</v>
      </c>
      <c r="N45" s="63" cm="1">
        <f t="array" aca="1" ref="N45" ca="1">IF(OR(IS_Header,IS_Empty),"",
  INDEX('Budget Planning'!$E:$EM,Row_ID,
   MATCH(IF(Selected_Period = "Total Year", Selected_Year, DATE(Selected_Year,Selected_Period,1)),'Budget Planning'!$E$9:$CI$9,0) ))</f>
        <v>0</v>
      </c>
      <c r="O45" s="2" t="str" cm="1">
        <f t="array" ref="O45">IF(IS_Cat,
  IF(Header_Row_ID = Income_Header_Row, MATCH(Income_Min_Row, $C:$C, 0),
   IF(Header_Row_ID = Expenses_Header_Row, MATCH(Expenses_Min_Row, $C:$C, 0),
    IF(Header_Row_ID = Savings_Header_Row, MATCH(Savings_Min_Row, $C:$C, 0),""))), "")</f>
        <v/>
      </c>
      <c r="P45" s="3" t="str" cm="1">
        <f t="array" ref="P45">IF(IS_Cat,
  IF(Header_Row_ID = Income_Header_Row, MATCH(Income_Max_Row, $C:$C, 0),
   IF(Header_Row_ID = Expenses_Header_Row, MATCH(Expenses_Max_Row, $C:$C, 0),
    IF(Header_Row_ID = Savings_Header_Row, MATCH(Savings_Max_Row, $C:$C, 0),""))), "")</f>
        <v/>
      </c>
      <c r="Q45" s="2" t="str">
        <f t="shared" ref="Q45:Q76" si="29">IF(IS_Cat, ADDRESS(Sort_Min_Row, COLUMN(Tracked_USD)) &amp; ":" &amp; ADDRESS(Sort_Max_Row, COLUMN(Tracked_USD)), "")</f>
        <v/>
      </c>
      <c r="R45" t="str">
        <f t="shared" ref="R45:R76" ca="1" si="30">IF(IS_Cat, RANK(Tracked_USD, INDIRECT(Tracked_USD_Range), 0), "")</f>
        <v/>
      </c>
      <c r="S45" t="str">
        <f t="shared" ref="S45:S76" si="31">IF(IS_Cat, ADDRESS(Sort_Min_Row, COLUMN(Tracked_LBP)) &amp; ":" &amp; ADDRESS(Sort_Max_Row, COLUMN(Tracked_LBP)), "")</f>
        <v/>
      </c>
      <c r="T45" t="str">
        <f t="shared" ref="T45:T76" ca="1" si="32">IF(IS_Cat, RANK(Tracked_LBP, INDIRECT(Tracked_LBP_Range), 0), "")</f>
        <v/>
      </c>
      <c r="U45" t="str">
        <f t="shared" ref="U45:U76" si="33">IF(IS_Cat, ADDRESS(Sort_Min_Row, COLUMN(Tracked_€)) &amp; ":" &amp; ADDRESS(Sort_Max_Row, COLUMN(Tracked_€)), "")</f>
        <v/>
      </c>
      <c r="V45" t="str">
        <f t="shared" ref="V45:V76" ca="1" si="34">IF(IS_Cat, RANK(Tracked_€, INDIRECT(Tracked_€_Range), 0), "")</f>
        <v/>
      </c>
      <c r="W45" t="str">
        <f t="shared" ref="W45:W76" si="35">IF(IS_Cat, ADDRESS(Sort_Min_Row, COLUMN(Budget)) &amp; ":" &amp; ADDRESS(Sort_Max_Row, COLUMN(Budget)), "")</f>
        <v/>
      </c>
      <c r="X45" s="3" t="str">
        <f t="shared" ref="X45:X76" ca="1" si="36">IF(IS_Cat, RANK(Budget, INDIRECT(Budget_Range),0),"")</f>
        <v/>
      </c>
      <c r="Y45" t="str">
        <f t="shared" ref="Y45:Y76" si="37">IF(IS_Cat, _xlfn.NUMBERVALUE(Tracked_USD_Rank &amp; Budget_Rank), "")</f>
        <v/>
      </c>
      <c r="Z45" t="str">
        <f t="shared" ref="Z45:Z76" si="38">IF(IS_Cat, ADDRESS(Sort_Min_Row, COLUMN(Comb_Rank)) &amp; ":" &amp; ADDRESS(Sort_Max_Row, COLUMN(Comb_Rank)), "")</f>
        <v/>
      </c>
      <c r="AA45" t="str">
        <f t="shared" ref="AA45:AA76" ca="1" si="39">IF(IS_Cat, RANK(Comb_Rank, INDIRECT(Comb_Rank_Range), 1), "")</f>
        <v/>
      </c>
      <c r="AB45" t="str">
        <f t="shared" ref="AB45:AB76" si="40">IF(IS_Cat, ADDRESS(Sort_Min_Row, COLUMN(Comb_Rank_Norm)) &amp; ":" &amp; ADDRESS(ROW(), COLUMN(Comb_Rank_Norm)), "")</f>
        <v/>
      </c>
      <c r="AC45" s="3" t="str">
        <f t="shared" ref="AC45:AC76" ca="1" si="41">IF(IS_Cat, Comb_Rank_Norm + COUNTIF(INDIRECT(Comb_Rank_Norm_Run_Range), Comb_Rank_Norm)-1,"")</f>
        <v/>
      </c>
      <c r="AD45" s="65">
        <f t="shared" ref="AD45:AD76" si="42">IF(IS_Cat, Header_Row_ID + Comb_Rank_Unique, Row_ID)</f>
        <v>81</v>
      </c>
      <c r="AE45" s="66" t="str">
        <f t="shared" ref="AE45:AE76" ca="1" si="43">IF(IS_Empty, "", INDEX($J:$J, MATCH(Row_ID, $AD:$AD, 0)))</f>
        <v>Total</v>
      </c>
      <c r="AF45" s="69">
        <f t="shared" ref="AF45:AF76" ca="1" si="44">IF(IS_Empty, "", IF(IS_Header, "Tracked $", INDEX($K:$K, MATCH(Row_ID, $AD:$AD, 0))))</f>
        <v>0</v>
      </c>
      <c r="AG45" s="69">
        <f t="shared" ref="AG45:AG76" ca="1" si="45">IF(IS_Empty, "", IF(IS_Header, "Tracked LBP", INDEX($L:$L, MATCH(Row_ID, $AD:$AD, 0))))</f>
        <v>0</v>
      </c>
      <c r="AH45" s="69">
        <f t="shared" ref="AH45:AH76" ca="1" si="46">IF(IS_Empty, "", IF(IS_Header, "Tracked €", INDEX($M:$M, MATCH(Row_ID, $AD:$AD, 0))))</f>
        <v>0</v>
      </c>
      <c r="AI45" s="69">
        <f t="shared" ref="AI45:AI76" ca="1" si="47">IF(IS_Empty, "", IF(IS_Header, "Budget", INDEX($N:$N, MATCH(Row_ID, $AD:$AD, 0))))</f>
        <v>0</v>
      </c>
      <c r="AJ45" s="68" t="str">
        <f t="shared" ref="AJ45:AJ76" ca="1" si="48">IF(IS_Empty, "", IF(IS_Header, "% Compl.", IFERROR(Out_Tracked_USD/ Out_Budget, "-")))</f>
        <v>-</v>
      </c>
      <c r="AK45" s="69">
        <f t="shared" ref="AK45:AK76" ca="1" si="49">IF(IS_Empty, "", IF(IS_Header, "Remaining", IF(Out_Budget - Out_Tracked_USD &gt; 0, Out_Budget - Out_Tracked_USD, 0)))</f>
        <v>0</v>
      </c>
      <c r="AL45" s="69">
        <f t="shared" ref="AL45:AL76" ca="1" si="50">IF(IS_Empty, "", IF(IS_Header, "Excess", IF(Out_Budget - Out_Tracked_USD &lt; 0, Out_Tracked_USD - Out_Budget, 0)))</f>
        <v>0</v>
      </c>
    </row>
    <row r="46" spans="3:52" x14ac:dyDescent="0.25">
      <c r="C46" s="2" cm="1">
        <f t="array" ref="C46">IF(C45 = -1, -1,
 IF(C45 &lt; Income_Max_Row, C45+1,
  IF(C45 = Income_Max_Row, Income_Total_Row,
   IF(C45 = Income_Total_Row, "/1",
    IF(C45 = "/1", Expenses_Header_Row,
     IF(C45 &lt; Expenses_Max_Row, C45+1,
      IF(C45 = Expenses_Max_Row, Expenses_Total_Row,
       IF(C45 = Expenses_Total_Row, "/2",
        IF(C45 = "/2", Savings_Header_Row,
         IF(C45 &lt; Savings_Max_Row, C45+1,
          IF(C45 = Savings_Max_Row, Savings_Total_Row, -1)))))))))))</f>
        <v>-1</v>
      </c>
      <c r="D46" s="3">
        <f t="shared" si="26"/>
        <v>-1</v>
      </c>
      <c r="E46" s="2" cm="1">
        <f t="array" ref="E46">1*OR(Row_ID = Income_Header_Row, Row_ID = Expenses_Header_Row, Row_ID = Savings_Header_Row)</f>
        <v>0</v>
      </c>
      <c r="F46">
        <f t="shared" si="27"/>
        <v>0</v>
      </c>
      <c r="G46" cm="1">
        <f t="array" ref="G46">1*OR(Row_ID = Income_Total_Row, Row_ID = Expenses_Total_Row, Row_ID = Savings_Total_Row)</f>
        <v>0</v>
      </c>
      <c r="H46" s="3">
        <f t="shared" si="28"/>
        <v>1</v>
      </c>
      <c r="I46" s="2" t="str" cm="1">
        <f t="array" ref="I46">IFERROR(INDEX('Budget Planning'!$C:$C, Header_Row_ID),"")</f>
        <v/>
      </c>
      <c r="J46" t="str" cm="1">
        <f t="array" ref="J46">IFERROR(INDEX('Budget Planning'!$C:$C, Row_ID),"")</f>
        <v/>
      </c>
      <c r="K46" s="62" t="str" cm="1">
        <f t="array" ref="K46">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46" s="62" t="str" cm="1">
        <f t="array" ref="L46">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46" s="62" t="str" cm="1">
        <f t="array" ref="M46">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46" s="63" t="str" cm="1">
        <f t="array" ref="N46">IF(OR(IS_Header,IS_Empty),"",
  INDEX('Budget Planning'!$E:$EM,Row_ID,
   MATCH(IF(Selected_Period = "Total Year", Selected_Year, DATE(Selected_Year,Selected_Period,1)),'Budget Planning'!$E$9:$CI$9,0) ))</f>
        <v/>
      </c>
      <c r="O46" s="2" t="str" cm="1">
        <f t="array" ref="O46">IF(IS_Cat,
  IF(Header_Row_ID = Income_Header_Row, MATCH(Income_Min_Row, $C:$C, 0),
   IF(Header_Row_ID = Expenses_Header_Row, MATCH(Expenses_Min_Row, $C:$C, 0),
    IF(Header_Row_ID = Savings_Header_Row, MATCH(Savings_Min_Row, $C:$C, 0),""))), "")</f>
        <v/>
      </c>
      <c r="P46" s="3" t="str" cm="1">
        <f t="array" ref="P46">IF(IS_Cat,
  IF(Header_Row_ID = Income_Header_Row, MATCH(Income_Max_Row, $C:$C, 0),
   IF(Header_Row_ID = Expenses_Header_Row, MATCH(Expenses_Max_Row, $C:$C, 0),
    IF(Header_Row_ID = Savings_Header_Row, MATCH(Savings_Max_Row, $C:$C, 0),""))), "")</f>
        <v/>
      </c>
      <c r="Q46" s="2" t="str">
        <f t="shared" si="29"/>
        <v/>
      </c>
      <c r="R46" t="str">
        <f t="shared" ca="1" si="30"/>
        <v/>
      </c>
      <c r="S46" t="str">
        <f t="shared" si="31"/>
        <v/>
      </c>
      <c r="T46" t="str">
        <f t="shared" ca="1" si="32"/>
        <v/>
      </c>
      <c r="U46" t="str">
        <f t="shared" si="33"/>
        <v/>
      </c>
      <c r="V46" t="str">
        <f t="shared" ca="1" si="34"/>
        <v/>
      </c>
      <c r="W46" t="str">
        <f t="shared" si="35"/>
        <v/>
      </c>
      <c r="X46" s="3" t="str">
        <f t="shared" ca="1" si="36"/>
        <v/>
      </c>
      <c r="Y46" t="str">
        <f t="shared" si="37"/>
        <v/>
      </c>
      <c r="Z46" t="str">
        <f t="shared" si="38"/>
        <v/>
      </c>
      <c r="AA46" t="str">
        <f t="shared" ca="1" si="39"/>
        <v/>
      </c>
      <c r="AB46" t="str">
        <f t="shared" si="40"/>
        <v/>
      </c>
      <c r="AC46" s="3" t="str">
        <f t="shared" ca="1" si="41"/>
        <v/>
      </c>
      <c r="AD46" s="65">
        <f t="shared" si="42"/>
        <v>-1</v>
      </c>
      <c r="AE46" s="66" t="str">
        <f t="shared" si="43"/>
        <v/>
      </c>
      <c r="AF46" s="69" t="str">
        <f t="shared" si="44"/>
        <v/>
      </c>
      <c r="AG46" s="69" t="str">
        <f t="shared" si="45"/>
        <v/>
      </c>
      <c r="AH46" s="69" t="str">
        <f t="shared" si="46"/>
        <v/>
      </c>
      <c r="AI46" s="69" t="str">
        <f t="shared" si="47"/>
        <v/>
      </c>
      <c r="AJ46" s="68" t="str">
        <f t="shared" si="48"/>
        <v/>
      </c>
      <c r="AK46" s="69" t="str">
        <f t="shared" si="49"/>
        <v/>
      </c>
      <c r="AL46" s="69" t="str">
        <f t="shared" si="50"/>
        <v/>
      </c>
    </row>
    <row r="47" spans="3:52" x14ac:dyDescent="0.25">
      <c r="C47" s="2" cm="1">
        <f t="array" ref="C47">IF(C46 = -1, -1,
 IF(C46 &lt; Income_Max_Row, C46+1,
  IF(C46 = Income_Max_Row, Income_Total_Row,
   IF(C46 = Income_Total_Row, "/1",
    IF(C46 = "/1", Expenses_Header_Row,
     IF(C46 &lt; Expenses_Max_Row, C46+1,
      IF(C46 = Expenses_Max_Row, Expenses_Total_Row,
       IF(C46 = Expenses_Total_Row, "/2",
        IF(C46 = "/2", Savings_Header_Row,
         IF(C46 &lt; Savings_Max_Row, C46+1,
          IF(C46 = Savings_Max_Row, Savings_Total_Row, -1)))))))))))</f>
        <v>-1</v>
      </c>
      <c r="D47" s="3">
        <f t="shared" si="26"/>
        <v>-1</v>
      </c>
      <c r="E47" s="2" cm="1">
        <f t="array" ref="E47">1*OR(Row_ID = Income_Header_Row, Row_ID = Expenses_Header_Row, Row_ID = Savings_Header_Row)</f>
        <v>0</v>
      </c>
      <c r="F47">
        <f t="shared" si="27"/>
        <v>0</v>
      </c>
      <c r="G47" cm="1">
        <f t="array" ref="G47">1*OR(Row_ID = Income_Total_Row, Row_ID = Expenses_Total_Row, Row_ID = Savings_Total_Row)</f>
        <v>0</v>
      </c>
      <c r="H47" s="3">
        <f t="shared" si="28"/>
        <v>1</v>
      </c>
      <c r="I47" s="2" t="str" cm="1">
        <f t="array" ref="I47">IFERROR(INDEX('Budget Planning'!$C:$C, Header_Row_ID),"")</f>
        <v/>
      </c>
      <c r="J47" t="str" cm="1">
        <f t="array" ref="J47">IFERROR(INDEX('Budget Planning'!$C:$C, Row_ID),"")</f>
        <v/>
      </c>
      <c r="K47" s="62" t="str" cm="1">
        <f t="array" ref="K47">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47" s="62" t="str" cm="1">
        <f t="array" ref="L47">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47" s="62" t="str" cm="1">
        <f t="array" ref="M47">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47" s="63" t="str" cm="1">
        <f t="array" ref="N47">IF(OR(IS_Header,IS_Empty),"",
  INDEX('Budget Planning'!$E:$EM,Row_ID,
   MATCH(IF(Selected_Period = "Total Year", Selected_Year, DATE(Selected_Year,Selected_Period,1)),'Budget Planning'!$E$9:$CI$9,0) ))</f>
        <v/>
      </c>
      <c r="O47" s="2" t="str" cm="1">
        <f t="array" ref="O47">IF(IS_Cat,
  IF(Header_Row_ID = Income_Header_Row, MATCH(Income_Min_Row, $C:$C, 0),
   IF(Header_Row_ID = Expenses_Header_Row, MATCH(Expenses_Min_Row, $C:$C, 0),
    IF(Header_Row_ID = Savings_Header_Row, MATCH(Savings_Min_Row, $C:$C, 0),""))), "")</f>
        <v/>
      </c>
      <c r="P47" s="3" t="str" cm="1">
        <f t="array" ref="P47">IF(IS_Cat,
  IF(Header_Row_ID = Income_Header_Row, MATCH(Income_Max_Row, $C:$C, 0),
   IF(Header_Row_ID = Expenses_Header_Row, MATCH(Expenses_Max_Row, $C:$C, 0),
    IF(Header_Row_ID = Savings_Header_Row, MATCH(Savings_Max_Row, $C:$C, 0),""))), "")</f>
        <v/>
      </c>
      <c r="Q47" s="2" t="str">
        <f t="shared" si="29"/>
        <v/>
      </c>
      <c r="R47" t="str">
        <f t="shared" ca="1" si="30"/>
        <v/>
      </c>
      <c r="S47" t="str">
        <f t="shared" si="31"/>
        <v/>
      </c>
      <c r="T47" t="str">
        <f t="shared" ca="1" si="32"/>
        <v/>
      </c>
      <c r="U47" t="str">
        <f t="shared" si="33"/>
        <v/>
      </c>
      <c r="V47" t="str">
        <f t="shared" ca="1" si="34"/>
        <v/>
      </c>
      <c r="W47" t="str">
        <f t="shared" si="35"/>
        <v/>
      </c>
      <c r="X47" s="3" t="str">
        <f t="shared" ca="1" si="36"/>
        <v/>
      </c>
      <c r="Y47" t="str">
        <f t="shared" si="37"/>
        <v/>
      </c>
      <c r="Z47" t="str">
        <f t="shared" si="38"/>
        <v/>
      </c>
      <c r="AA47" t="str">
        <f t="shared" ca="1" si="39"/>
        <v/>
      </c>
      <c r="AB47" t="str">
        <f t="shared" si="40"/>
        <v/>
      </c>
      <c r="AC47" s="3" t="str">
        <f t="shared" ca="1" si="41"/>
        <v/>
      </c>
      <c r="AD47" s="65">
        <f t="shared" si="42"/>
        <v>-1</v>
      </c>
      <c r="AE47" s="66" t="str">
        <f t="shared" si="43"/>
        <v/>
      </c>
      <c r="AF47" s="69" t="str">
        <f t="shared" si="44"/>
        <v/>
      </c>
      <c r="AG47" s="69" t="str">
        <f t="shared" si="45"/>
        <v/>
      </c>
      <c r="AH47" s="69" t="str">
        <f t="shared" si="46"/>
        <v/>
      </c>
      <c r="AI47" s="69" t="str">
        <f t="shared" si="47"/>
        <v/>
      </c>
      <c r="AJ47" s="68" t="str">
        <f t="shared" si="48"/>
        <v/>
      </c>
      <c r="AK47" s="69" t="str">
        <f t="shared" si="49"/>
        <v/>
      </c>
      <c r="AL47" s="69" t="str">
        <f t="shared" si="50"/>
        <v/>
      </c>
    </row>
    <row r="48" spans="3:52" x14ac:dyDescent="0.25">
      <c r="C48" s="2" cm="1">
        <f t="array" ref="C48">IF(C47 = -1, -1,
 IF(C47 &lt; Income_Max_Row, C47+1,
  IF(C47 = Income_Max_Row, Income_Total_Row,
   IF(C47 = Income_Total_Row, "/1",
    IF(C47 = "/1", Expenses_Header_Row,
     IF(C47 &lt; Expenses_Max_Row, C47+1,
      IF(C47 = Expenses_Max_Row, Expenses_Total_Row,
       IF(C47 = Expenses_Total_Row, "/2",
        IF(C47 = "/2", Savings_Header_Row,
         IF(C47 &lt; Savings_Max_Row, C47+1,
          IF(C47 = Savings_Max_Row, Savings_Total_Row, -1)))))))))))</f>
        <v>-1</v>
      </c>
      <c r="D48" s="3">
        <f t="shared" si="26"/>
        <v>-1</v>
      </c>
      <c r="E48" s="2" cm="1">
        <f t="array" ref="E48">1*OR(Row_ID = Income_Header_Row, Row_ID = Expenses_Header_Row, Row_ID = Savings_Header_Row)</f>
        <v>0</v>
      </c>
      <c r="F48">
        <f t="shared" si="27"/>
        <v>0</v>
      </c>
      <c r="G48" cm="1">
        <f t="array" ref="G48">1*OR(Row_ID = Income_Total_Row, Row_ID = Expenses_Total_Row, Row_ID = Savings_Total_Row)</f>
        <v>0</v>
      </c>
      <c r="H48" s="3">
        <f t="shared" si="28"/>
        <v>1</v>
      </c>
      <c r="I48" s="2" t="str" cm="1">
        <f t="array" ref="I48">IFERROR(INDEX('Budget Planning'!$C:$C, Header_Row_ID),"")</f>
        <v/>
      </c>
      <c r="J48" t="str" cm="1">
        <f t="array" ref="J48">IFERROR(INDEX('Budget Planning'!$C:$C, Row_ID),"")</f>
        <v/>
      </c>
      <c r="K48" s="62" t="str" cm="1">
        <f t="array" ref="K48">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48" s="62" t="str" cm="1">
        <f t="array" ref="L48">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48" s="62" t="str" cm="1">
        <f t="array" ref="M48">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48" s="63" t="str" cm="1">
        <f t="array" ref="N48">IF(OR(IS_Header,IS_Empty),"",
  INDEX('Budget Planning'!$E:$EM,Row_ID,
   MATCH(IF(Selected_Period = "Total Year", Selected_Year, DATE(Selected_Year,Selected_Period,1)),'Budget Planning'!$E$9:$CI$9,0) ))</f>
        <v/>
      </c>
      <c r="O48" s="2" t="str" cm="1">
        <f t="array" ref="O48">IF(IS_Cat,
  IF(Header_Row_ID = Income_Header_Row, MATCH(Income_Min_Row, $C:$C, 0),
   IF(Header_Row_ID = Expenses_Header_Row, MATCH(Expenses_Min_Row, $C:$C, 0),
    IF(Header_Row_ID = Savings_Header_Row, MATCH(Savings_Min_Row, $C:$C, 0),""))), "")</f>
        <v/>
      </c>
      <c r="P48" s="3" t="str" cm="1">
        <f t="array" ref="P48">IF(IS_Cat,
  IF(Header_Row_ID = Income_Header_Row, MATCH(Income_Max_Row, $C:$C, 0),
   IF(Header_Row_ID = Expenses_Header_Row, MATCH(Expenses_Max_Row, $C:$C, 0),
    IF(Header_Row_ID = Savings_Header_Row, MATCH(Savings_Max_Row, $C:$C, 0),""))), "")</f>
        <v/>
      </c>
      <c r="Q48" s="2" t="str">
        <f t="shared" si="29"/>
        <v/>
      </c>
      <c r="R48" t="str">
        <f t="shared" ca="1" si="30"/>
        <v/>
      </c>
      <c r="S48" t="str">
        <f t="shared" si="31"/>
        <v/>
      </c>
      <c r="T48" t="str">
        <f t="shared" ca="1" si="32"/>
        <v/>
      </c>
      <c r="U48" t="str">
        <f t="shared" si="33"/>
        <v/>
      </c>
      <c r="V48" t="str">
        <f t="shared" ca="1" si="34"/>
        <v/>
      </c>
      <c r="W48" t="str">
        <f t="shared" si="35"/>
        <v/>
      </c>
      <c r="X48" s="3" t="str">
        <f t="shared" ca="1" si="36"/>
        <v/>
      </c>
      <c r="Y48" t="str">
        <f t="shared" si="37"/>
        <v/>
      </c>
      <c r="Z48" t="str">
        <f t="shared" si="38"/>
        <v/>
      </c>
      <c r="AA48" t="str">
        <f t="shared" ca="1" si="39"/>
        <v/>
      </c>
      <c r="AB48" t="str">
        <f t="shared" si="40"/>
        <v/>
      </c>
      <c r="AC48" s="3" t="str">
        <f t="shared" ca="1" si="41"/>
        <v/>
      </c>
      <c r="AD48" s="65">
        <f t="shared" si="42"/>
        <v>-1</v>
      </c>
      <c r="AE48" s="66" t="str">
        <f t="shared" si="43"/>
        <v/>
      </c>
      <c r="AF48" s="69" t="str">
        <f t="shared" si="44"/>
        <v/>
      </c>
      <c r="AG48" s="69" t="str">
        <f t="shared" si="45"/>
        <v/>
      </c>
      <c r="AH48" s="69" t="str">
        <f t="shared" si="46"/>
        <v/>
      </c>
      <c r="AI48" s="69" t="str">
        <f t="shared" si="47"/>
        <v/>
      </c>
      <c r="AJ48" s="68" t="str">
        <f t="shared" si="48"/>
        <v/>
      </c>
      <c r="AK48" s="69" t="str">
        <f t="shared" si="49"/>
        <v/>
      </c>
      <c r="AL48" s="69" t="str">
        <f t="shared" si="50"/>
        <v/>
      </c>
    </row>
    <row r="49" spans="3:38" x14ac:dyDescent="0.25">
      <c r="C49" s="2" cm="1">
        <f t="array" ref="C49">IF(C48 = -1, -1,
 IF(C48 &lt; Income_Max_Row, C48+1,
  IF(C48 = Income_Max_Row, Income_Total_Row,
   IF(C48 = Income_Total_Row, "/1",
    IF(C48 = "/1", Expenses_Header_Row,
     IF(C48 &lt; Expenses_Max_Row, C48+1,
      IF(C48 = Expenses_Max_Row, Expenses_Total_Row,
       IF(C48 = Expenses_Total_Row, "/2",
        IF(C48 = "/2", Savings_Header_Row,
         IF(C48 &lt; Savings_Max_Row, C48+1,
          IF(C48 = Savings_Max_Row, Savings_Total_Row, -1)))))))))))</f>
        <v>-1</v>
      </c>
      <c r="D49" s="3">
        <f t="shared" si="26"/>
        <v>-1</v>
      </c>
      <c r="E49" s="2" t="b">
        <v>0</v>
      </c>
      <c r="F49">
        <f t="shared" si="27"/>
        <v>0</v>
      </c>
      <c r="G49" cm="1">
        <f t="array" ref="G49">1*OR(Row_ID = Income_Total_Row, Row_ID = Expenses_Total_Row, Row_ID = Savings_Total_Row)</f>
        <v>0</v>
      </c>
      <c r="H49" s="3">
        <f t="shared" si="28"/>
        <v>1</v>
      </c>
      <c r="I49" s="2" t="str" cm="1">
        <f t="array" ref="I49">IFERROR(INDEX('Budget Planning'!$C:$C, Header_Row_ID),"")</f>
        <v/>
      </c>
      <c r="J49" t="str" cm="1">
        <f t="array" ref="J49">IFERROR(INDEX('Budget Planning'!$C:$C, Row_ID),"")</f>
        <v/>
      </c>
      <c r="K49" s="62" t="str" cm="1">
        <f t="array" ref="K49">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49" s="62" t="str" cm="1">
        <f t="array" ref="L49">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49" s="62" t="str" cm="1">
        <f t="array" ref="M49">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49" s="63" t="str" cm="1">
        <f t="array" ref="N49">IF(OR(IS_Header,IS_Empty),"",
  INDEX('Budget Planning'!$E:$EM,Row_ID,
   MATCH(IF(Selected_Period = "Total Year", Selected_Year, DATE(Selected_Year,Selected_Period,1)),'Budget Planning'!$E$9:$CI$9,0) ))</f>
        <v/>
      </c>
      <c r="O49" s="2" t="str" cm="1">
        <f t="array" ref="O49">IF(IS_Cat,
  IF(Header_Row_ID = Income_Header_Row, MATCH(Income_Min_Row, $C:$C, 0),
   IF(Header_Row_ID = Expenses_Header_Row, MATCH(Expenses_Min_Row, $C:$C, 0),
    IF(Header_Row_ID = Savings_Header_Row, MATCH(Savings_Min_Row, $C:$C, 0),""))), "")</f>
        <v/>
      </c>
      <c r="P49" s="3" t="str" cm="1">
        <f t="array" ref="P49">IF(IS_Cat,
  IF(Header_Row_ID = Income_Header_Row, MATCH(Income_Max_Row, $C:$C, 0),
   IF(Header_Row_ID = Expenses_Header_Row, MATCH(Expenses_Max_Row, $C:$C, 0),
    IF(Header_Row_ID = Savings_Header_Row, MATCH(Savings_Max_Row, $C:$C, 0),""))), "")</f>
        <v/>
      </c>
      <c r="Q49" s="2" t="str">
        <f t="shared" si="29"/>
        <v/>
      </c>
      <c r="R49" t="str">
        <f t="shared" ca="1" si="30"/>
        <v/>
      </c>
      <c r="S49" t="str">
        <f t="shared" si="31"/>
        <v/>
      </c>
      <c r="T49" t="str">
        <f t="shared" ca="1" si="32"/>
        <v/>
      </c>
      <c r="U49" t="str">
        <f t="shared" si="33"/>
        <v/>
      </c>
      <c r="V49" t="str">
        <f t="shared" ca="1" si="34"/>
        <v/>
      </c>
      <c r="W49" t="str">
        <f t="shared" si="35"/>
        <v/>
      </c>
      <c r="X49" s="3" t="str">
        <f t="shared" ca="1" si="36"/>
        <v/>
      </c>
      <c r="Y49" t="str">
        <f t="shared" si="37"/>
        <v/>
      </c>
      <c r="Z49" t="str">
        <f t="shared" si="38"/>
        <v/>
      </c>
      <c r="AA49" t="str">
        <f t="shared" ca="1" si="39"/>
        <v/>
      </c>
      <c r="AB49" t="str">
        <f t="shared" si="40"/>
        <v/>
      </c>
      <c r="AC49" s="3" t="str">
        <f t="shared" ca="1" si="41"/>
        <v/>
      </c>
      <c r="AD49" s="65">
        <f t="shared" si="42"/>
        <v>-1</v>
      </c>
      <c r="AE49" s="66" t="str">
        <f t="shared" si="43"/>
        <v/>
      </c>
      <c r="AF49" s="69" t="str">
        <f t="shared" si="44"/>
        <v/>
      </c>
      <c r="AG49" s="69" t="str">
        <f t="shared" si="45"/>
        <v/>
      </c>
      <c r="AH49" s="69" t="str">
        <f t="shared" si="46"/>
        <v/>
      </c>
      <c r="AI49" s="69" t="str">
        <f t="shared" si="47"/>
        <v/>
      </c>
      <c r="AJ49" s="68" t="str">
        <f t="shared" si="48"/>
        <v/>
      </c>
      <c r="AK49" s="69" t="str">
        <f t="shared" si="49"/>
        <v/>
      </c>
      <c r="AL49" s="69" t="str">
        <f t="shared" si="50"/>
        <v/>
      </c>
    </row>
    <row r="50" spans="3:38" x14ac:dyDescent="0.25">
      <c r="C50" s="2" cm="1">
        <f t="array" ref="C50">IF(C49 = -1, -1,
 IF(C49 &lt; Income_Max_Row, C49+1,
  IF(C49 = Income_Max_Row, Income_Total_Row,
   IF(C49 = Income_Total_Row, "/1",
    IF(C49 = "/1", Expenses_Header_Row,
     IF(C49 &lt; Expenses_Max_Row, C49+1,
      IF(C49 = Expenses_Max_Row, Expenses_Total_Row,
       IF(C49 = Expenses_Total_Row, "/2",
        IF(C49 = "/2", Savings_Header_Row,
         IF(C49 &lt; Savings_Max_Row, C49+1,
          IF(C49 = Savings_Max_Row, Savings_Total_Row, -1)))))))))))</f>
        <v>-1</v>
      </c>
      <c r="D50" s="3">
        <f t="shared" si="26"/>
        <v>-1</v>
      </c>
      <c r="E50" s="2" cm="1">
        <f t="array" ref="E50">1*OR(Row_ID = Income_Header_Row, Row_ID = Expenses_Header_Row, Row_ID = Savings_Header_Row)</f>
        <v>0</v>
      </c>
      <c r="F50">
        <f t="shared" si="27"/>
        <v>0</v>
      </c>
      <c r="G50" cm="1">
        <f t="array" ref="G50">1*OR(Row_ID = Income_Total_Row, Row_ID = Expenses_Total_Row, Row_ID = Savings_Total_Row)</f>
        <v>0</v>
      </c>
      <c r="H50" s="3">
        <f t="shared" si="28"/>
        <v>1</v>
      </c>
      <c r="I50" s="2" t="str" cm="1">
        <f t="array" ref="I50">IFERROR(INDEX('Budget Planning'!$C:$C, Header_Row_ID),"")</f>
        <v/>
      </c>
      <c r="J50" t="str" cm="1">
        <f t="array" ref="J50">IFERROR(INDEX('Budget Planning'!$C:$C, Row_ID),"")</f>
        <v/>
      </c>
      <c r="K50" s="62" t="str" cm="1">
        <f t="array" ref="K50">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50" s="62" t="str" cm="1">
        <f t="array" ref="L50">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50" s="62" t="str" cm="1">
        <f t="array" ref="M50">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50" s="63" t="str" cm="1">
        <f t="array" ref="N50">IF(OR(IS_Header,IS_Empty),"",
  INDEX('Budget Planning'!$E:$EM,Row_ID,
   MATCH(IF(Selected_Period = "Total Year", Selected_Year, DATE(Selected_Year,Selected_Period,1)),'Budget Planning'!$E$9:$CI$9,0) ))</f>
        <v/>
      </c>
      <c r="O50" s="2" t="str" cm="1">
        <f t="array" ref="O50">IF(IS_Cat,
  IF(Header_Row_ID = Income_Header_Row, MATCH(Income_Min_Row, $C:$C, 0),
   IF(Header_Row_ID = Expenses_Header_Row, MATCH(Expenses_Min_Row, $C:$C, 0),
    IF(Header_Row_ID = Savings_Header_Row, MATCH(Savings_Min_Row, $C:$C, 0),""))), "")</f>
        <v/>
      </c>
      <c r="P50" s="3" t="str" cm="1">
        <f t="array" ref="P50">IF(IS_Cat,
  IF(Header_Row_ID = Income_Header_Row, MATCH(Income_Max_Row, $C:$C, 0),
   IF(Header_Row_ID = Expenses_Header_Row, MATCH(Expenses_Max_Row, $C:$C, 0),
    IF(Header_Row_ID = Savings_Header_Row, MATCH(Savings_Max_Row, $C:$C, 0),""))), "")</f>
        <v/>
      </c>
      <c r="Q50" s="2" t="str">
        <f t="shared" si="29"/>
        <v/>
      </c>
      <c r="R50" t="str">
        <f t="shared" ca="1" si="30"/>
        <v/>
      </c>
      <c r="S50" t="str">
        <f t="shared" si="31"/>
        <v/>
      </c>
      <c r="T50" t="str">
        <f t="shared" ca="1" si="32"/>
        <v/>
      </c>
      <c r="U50" t="str">
        <f t="shared" si="33"/>
        <v/>
      </c>
      <c r="V50" t="str">
        <f t="shared" ca="1" si="34"/>
        <v/>
      </c>
      <c r="W50" t="str">
        <f t="shared" si="35"/>
        <v/>
      </c>
      <c r="X50" s="3" t="str">
        <f t="shared" ca="1" si="36"/>
        <v/>
      </c>
      <c r="Y50" t="str">
        <f t="shared" si="37"/>
        <v/>
      </c>
      <c r="Z50" t="str">
        <f t="shared" si="38"/>
        <v/>
      </c>
      <c r="AA50" t="str">
        <f t="shared" ca="1" si="39"/>
        <v/>
      </c>
      <c r="AB50" t="str">
        <f t="shared" si="40"/>
        <v/>
      </c>
      <c r="AC50" s="3" t="str">
        <f t="shared" ca="1" si="41"/>
        <v/>
      </c>
      <c r="AD50" s="65">
        <f t="shared" si="42"/>
        <v>-1</v>
      </c>
      <c r="AE50" s="66" t="str">
        <f t="shared" si="43"/>
        <v/>
      </c>
      <c r="AF50" s="69" t="str">
        <f t="shared" si="44"/>
        <v/>
      </c>
      <c r="AG50" s="69" t="str">
        <f t="shared" si="45"/>
        <v/>
      </c>
      <c r="AH50" s="69" t="str">
        <f t="shared" si="46"/>
        <v/>
      </c>
      <c r="AI50" s="69" t="str">
        <f t="shared" si="47"/>
        <v/>
      </c>
      <c r="AJ50" s="68" t="str">
        <f t="shared" si="48"/>
        <v/>
      </c>
      <c r="AK50" s="69" t="str">
        <f t="shared" si="49"/>
        <v/>
      </c>
      <c r="AL50" s="69" t="str">
        <f t="shared" si="50"/>
        <v/>
      </c>
    </row>
    <row r="51" spans="3:38" x14ac:dyDescent="0.25">
      <c r="C51" s="2" cm="1">
        <f t="array" ref="C51">IF(C50 = -1, -1,
 IF(C50 &lt; Income_Max_Row, C50+1,
  IF(C50 = Income_Max_Row, Income_Total_Row,
   IF(C50 = Income_Total_Row, "/1",
    IF(C50 = "/1", Expenses_Header_Row,
     IF(C50 &lt; Expenses_Max_Row, C50+1,
      IF(C50 = Expenses_Max_Row, Expenses_Total_Row,
       IF(C50 = Expenses_Total_Row, "/2",
        IF(C50 = "/2", Savings_Header_Row,
         IF(C50 &lt; Savings_Max_Row, C50+1,
          IF(C50 = Savings_Max_Row, Savings_Total_Row, -1)))))))))))</f>
        <v>-1</v>
      </c>
      <c r="D51" s="3">
        <f t="shared" si="26"/>
        <v>-1</v>
      </c>
      <c r="E51" s="2" cm="1">
        <f t="array" ref="E51">1*OR(Row_ID = Income_Header_Row, Row_ID = Expenses_Header_Row, Row_ID = Savings_Header_Row)</f>
        <v>0</v>
      </c>
      <c r="F51">
        <f t="shared" si="27"/>
        <v>0</v>
      </c>
      <c r="G51" cm="1">
        <f t="array" ref="G51">1*OR(Row_ID = Income_Total_Row, Row_ID = Expenses_Total_Row, Row_ID = Savings_Total_Row)</f>
        <v>0</v>
      </c>
      <c r="H51" s="3">
        <f t="shared" si="28"/>
        <v>1</v>
      </c>
      <c r="I51" s="2" t="str" cm="1">
        <f t="array" ref="I51">IFERROR(INDEX('Budget Planning'!$C:$C, Header_Row_ID),"")</f>
        <v/>
      </c>
      <c r="J51" t="str" cm="1">
        <f t="array" ref="J51">IFERROR(INDEX('Budget Planning'!$C:$C, Row_ID),"")</f>
        <v/>
      </c>
      <c r="K51" s="62" t="str" cm="1">
        <f t="array" ref="K5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51" s="62" t="str" cm="1">
        <f t="array" ref="L5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51" s="62" t="str" cm="1">
        <f t="array" ref="M5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51" s="63" t="str" cm="1">
        <f t="array" ref="N51">IF(OR(IS_Header,IS_Empty),"",
  INDEX('Budget Planning'!$E:$EM,Row_ID,
   MATCH(IF(Selected_Period = "Total Year", Selected_Year, DATE(Selected_Year,Selected_Period,1)),'Budget Planning'!$E$9:$CI$9,0) ))</f>
        <v/>
      </c>
      <c r="O51" s="2" t="str" cm="1">
        <f t="array" ref="O51">IF(IS_Cat,
  IF(Header_Row_ID = Income_Header_Row, MATCH(Income_Min_Row, $C:$C, 0),
   IF(Header_Row_ID = Expenses_Header_Row, MATCH(Expenses_Min_Row, $C:$C, 0),
    IF(Header_Row_ID = Savings_Header_Row, MATCH(Savings_Min_Row, $C:$C, 0),""))), "")</f>
        <v/>
      </c>
      <c r="P51" s="3" t="str" cm="1">
        <f t="array" ref="P51">IF(IS_Cat,
  IF(Header_Row_ID = Income_Header_Row, MATCH(Income_Max_Row, $C:$C, 0),
   IF(Header_Row_ID = Expenses_Header_Row, MATCH(Expenses_Max_Row, $C:$C, 0),
    IF(Header_Row_ID = Savings_Header_Row, MATCH(Savings_Max_Row, $C:$C, 0),""))), "")</f>
        <v/>
      </c>
      <c r="Q51" s="2" t="str">
        <f t="shared" si="29"/>
        <v/>
      </c>
      <c r="R51" t="str">
        <f t="shared" ca="1" si="30"/>
        <v/>
      </c>
      <c r="S51" t="str">
        <f t="shared" si="31"/>
        <v/>
      </c>
      <c r="T51" t="str">
        <f t="shared" ca="1" si="32"/>
        <v/>
      </c>
      <c r="U51" t="str">
        <f t="shared" si="33"/>
        <v/>
      </c>
      <c r="V51" t="str">
        <f t="shared" ca="1" si="34"/>
        <v/>
      </c>
      <c r="W51" t="str">
        <f t="shared" si="35"/>
        <v/>
      </c>
      <c r="X51" s="3" t="str">
        <f t="shared" ca="1" si="36"/>
        <v/>
      </c>
      <c r="Y51" t="str">
        <f t="shared" si="37"/>
        <v/>
      </c>
      <c r="Z51" t="str">
        <f t="shared" si="38"/>
        <v/>
      </c>
      <c r="AA51" t="str">
        <f t="shared" ca="1" si="39"/>
        <v/>
      </c>
      <c r="AB51" t="str">
        <f t="shared" si="40"/>
        <v/>
      </c>
      <c r="AC51" s="3" t="str">
        <f t="shared" ca="1" si="41"/>
        <v/>
      </c>
      <c r="AD51" s="65">
        <f t="shared" si="42"/>
        <v>-1</v>
      </c>
      <c r="AE51" s="66" t="str">
        <f t="shared" si="43"/>
        <v/>
      </c>
      <c r="AF51" s="69" t="str">
        <f t="shared" si="44"/>
        <v/>
      </c>
      <c r="AG51" s="69" t="str">
        <f t="shared" si="45"/>
        <v/>
      </c>
      <c r="AH51" s="69" t="str">
        <f t="shared" si="46"/>
        <v/>
      </c>
      <c r="AI51" s="69" t="str">
        <f t="shared" si="47"/>
        <v/>
      </c>
      <c r="AJ51" s="68" t="str">
        <f t="shared" si="48"/>
        <v/>
      </c>
      <c r="AK51" s="69" t="str">
        <f t="shared" si="49"/>
        <v/>
      </c>
      <c r="AL51" s="69" t="str">
        <f t="shared" si="50"/>
        <v/>
      </c>
    </row>
    <row r="52" spans="3:38" x14ac:dyDescent="0.25">
      <c r="C52" s="2" cm="1">
        <f t="array" ref="C52">IF(C51 = -1, -1,
 IF(C51 &lt; Income_Max_Row, C51+1,
  IF(C51 = Income_Max_Row, Income_Total_Row,
   IF(C51 = Income_Total_Row, "/1",
    IF(C51 = "/1", Expenses_Header_Row,
     IF(C51 &lt; Expenses_Max_Row, C51+1,
      IF(C51 = Expenses_Max_Row, Expenses_Total_Row,
       IF(C51 = Expenses_Total_Row, "/2",
        IF(C51 = "/2", Savings_Header_Row,
         IF(C51 &lt; Savings_Max_Row, C51+1,
          IF(C51 = Savings_Max_Row, Savings_Total_Row, -1)))))))))))</f>
        <v>-1</v>
      </c>
      <c r="D52" s="3">
        <f t="shared" si="26"/>
        <v>-1</v>
      </c>
      <c r="E52" s="2" cm="1">
        <f t="array" ref="E52">1*OR(Row_ID = Income_Header_Row, Row_ID = Expenses_Header_Row, Row_ID = Savings_Header_Row)</f>
        <v>0</v>
      </c>
      <c r="F52">
        <f t="shared" si="27"/>
        <v>0</v>
      </c>
      <c r="G52" cm="1">
        <f t="array" ref="G52">1*OR(Row_ID = Income_Total_Row, Row_ID = Expenses_Total_Row, Row_ID = Savings_Total_Row)</f>
        <v>0</v>
      </c>
      <c r="H52" s="3">
        <f t="shared" si="28"/>
        <v>1</v>
      </c>
      <c r="I52" s="2" t="str" cm="1">
        <f t="array" ref="I52">IFERROR(INDEX('Budget Planning'!$C:$C, Header_Row_ID),"")</f>
        <v/>
      </c>
      <c r="J52" t="str" cm="1">
        <f t="array" ref="J52">IFERROR(INDEX('Budget Planning'!$C:$C, Row_ID),"")</f>
        <v/>
      </c>
      <c r="K52" s="62" t="str" cm="1">
        <f t="array" ref="K52">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52" s="62" t="str" cm="1">
        <f t="array" ref="L52">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52" s="62" t="str" cm="1">
        <f t="array" ref="M52">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52" s="63" t="str" cm="1">
        <f t="array" ref="N52">IF(OR(IS_Header,IS_Empty),"",
  INDEX('Budget Planning'!$E:$EM,Row_ID,
   MATCH(IF(Selected_Period = "Total Year", Selected_Year, DATE(Selected_Year,Selected_Period,1)),'Budget Planning'!$E$9:$CI$9,0) ))</f>
        <v/>
      </c>
      <c r="O52" s="2" t="str" cm="1">
        <f t="array" ref="O52">IF(IS_Cat,
  IF(Header_Row_ID = Income_Header_Row, MATCH(Income_Min_Row, $C:$C, 0),
   IF(Header_Row_ID = Expenses_Header_Row, MATCH(Expenses_Min_Row, $C:$C, 0),
    IF(Header_Row_ID = Savings_Header_Row, MATCH(Savings_Min_Row, $C:$C, 0),""))), "")</f>
        <v/>
      </c>
      <c r="P52" s="3" t="str" cm="1">
        <f t="array" ref="P52">IF(IS_Cat,
  IF(Header_Row_ID = Income_Header_Row, MATCH(Income_Max_Row, $C:$C, 0),
   IF(Header_Row_ID = Expenses_Header_Row, MATCH(Expenses_Max_Row, $C:$C, 0),
    IF(Header_Row_ID = Savings_Header_Row, MATCH(Savings_Max_Row, $C:$C, 0),""))), "")</f>
        <v/>
      </c>
      <c r="Q52" s="2" t="str">
        <f t="shared" si="29"/>
        <v/>
      </c>
      <c r="R52" t="str">
        <f t="shared" ca="1" si="30"/>
        <v/>
      </c>
      <c r="S52" t="str">
        <f t="shared" si="31"/>
        <v/>
      </c>
      <c r="T52" t="str">
        <f t="shared" ca="1" si="32"/>
        <v/>
      </c>
      <c r="U52" t="str">
        <f t="shared" si="33"/>
        <v/>
      </c>
      <c r="V52" t="str">
        <f t="shared" ca="1" si="34"/>
        <v/>
      </c>
      <c r="W52" t="str">
        <f t="shared" si="35"/>
        <v/>
      </c>
      <c r="X52" s="3" t="str">
        <f t="shared" ca="1" si="36"/>
        <v/>
      </c>
      <c r="Y52" t="str">
        <f t="shared" si="37"/>
        <v/>
      </c>
      <c r="Z52" t="str">
        <f t="shared" si="38"/>
        <v/>
      </c>
      <c r="AA52" t="str">
        <f t="shared" ca="1" si="39"/>
        <v/>
      </c>
      <c r="AB52" t="str">
        <f t="shared" si="40"/>
        <v/>
      </c>
      <c r="AC52" s="3" t="str">
        <f t="shared" ca="1" si="41"/>
        <v/>
      </c>
      <c r="AD52" s="65">
        <f t="shared" si="42"/>
        <v>-1</v>
      </c>
      <c r="AE52" s="66" t="str">
        <f t="shared" si="43"/>
        <v/>
      </c>
      <c r="AF52" s="69" t="str">
        <f t="shared" si="44"/>
        <v/>
      </c>
      <c r="AG52" s="69" t="str">
        <f t="shared" si="45"/>
        <v/>
      </c>
      <c r="AH52" s="69" t="str">
        <f t="shared" si="46"/>
        <v/>
      </c>
      <c r="AI52" s="69" t="str">
        <f t="shared" si="47"/>
        <v/>
      </c>
      <c r="AJ52" s="68" t="str">
        <f t="shared" si="48"/>
        <v/>
      </c>
      <c r="AK52" s="69" t="str">
        <f t="shared" si="49"/>
        <v/>
      </c>
      <c r="AL52" s="69" t="str">
        <f t="shared" si="50"/>
        <v/>
      </c>
    </row>
    <row r="53" spans="3:38" x14ac:dyDescent="0.25">
      <c r="C53" s="2" cm="1">
        <f t="array" ref="C53">IF(C52 = -1, -1,
 IF(C52 &lt; Income_Max_Row, C52+1,
  IF(C52 = Income_Max_Row, Income_Total_Row,
   IF(C52 = Income_Total_Row, "/1",
    IF(C52 = "/1", Expenses_Header_Row,
     IF(C52 &lt; Expenses_Max_Row, C52+1,
      IF(C52 = Expenses_Max_Row, Expenses_Total_Row,
       IF(C52 = Expenses_Total_Row, "/2",
        IF(C52 = "/2", Savings_Header_Row,
         IF(C52 &lt; Savings_Max_Row, C52+1,
          IF(C52 = Savings_Max_Row, Savings_Total_Row, -1)))))))))))</f>
        <v>-1</v>
      </c>
      <c r="D53" s="3">
        <f t="shared" si="26"/>
        <v>-1</v>
      </c>
      <c r="E53" s="2" cm="1">
        <f t="array" ref="E53">1*OR(Row_ID = Income_Header_Row, Row_ID = Expenses_Header_Row, Row_ID = Savings_Header_Row)</f>
        <v>0</v>
      </c>
      <c r="F53">
        <f t="shared" si="27"/>
        <v>0</v>
      </c>
      <c r="G53" cm="1">
        <f t="array" ref="G53">1*OR(Row_ID = Income_Total_Row, Row_ID = Expenses_Total_Row, Row_ID = Savings_Total_Row)</f>
        <v>0</v>
      </c>
      <c r="H53" s="3">
        <f t="shared" si="28"/>
        <v>1</v>
      </c>
      <c r="I53" s="2" t="str" cm="1">
        <f t="array" ref="I53">IFERROR(INDEX('Budget Planning'!$C:$C, Header_Row_ID),"")</f>
        <v/>
      </c>
      <c r="J53" t="str" cm="1">
        <f t="array" ref="J53">IFERROR(INDEX('Budget Planning'!$C:$C, Row_ID),"")</f>
        <v/>
      </c>
      <c r="K53" s="62" t="str" cm="1">
        <f t="array" ref="K53">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53" s="62" t="str" cm="1">
        <f t="array" ref="L53">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53" s="62" t="str" cm="1">
        <f t="array" ref="M53">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53" s="63" t="str" cm="1">
        <f t="array" ref="N53">IF(OR(IS_Header,IS_Empty),"",
  INDEX('Budget Planning'!$E:$EM,Row_ID,
   MATCH(IF(Selected_Period = "Total Year", Selected_Year, DATE(Selected_Year,Selected_Period,1)),'Budget Planning'!$E$9:$CI$9,0) ))</f>
        <v/>
      </c>
      <c r="O53" s="2" t="str" cm="1">
        <f t="array" ref="O53">IF(IS_Cat,
  IF(Header_Row_ID = Income_Header_Row, MATCH(Income_Min_Row, $C:$C, 0),
   IF(Header_Row_ID = Expenses_Header_Row, MATCH(Expenses_Min_Row, $C:$C, 0),
    IF(Header_Row_ID = Savings_Header_Row, MATCH(Savings_Min_Row, $C:$C, 0),""))), "")</f>
        <v/>
      </c>
      <c r="P53" s="3" t="str" cm="1">
        <f t="array" ref="P53">IF(IS_Cat,
  IF(Header_Row_ID = Income_Header_Row, MATCH(Income_Max_Row, $C:$C, 0),
   IF(Header_Row_ID = Expenses_Header_Row, MATCH(Expenses_Max_Row, $C:$C, 0),
    IF(Header_Row_ID = Savings_Header_Row, MATCH(Savings_Max_Row, $C:$C, 0),""))), "")</f>
        <v/>
      </c>
      <c r="Q53" s="2" t="str">
        <f t="shared" si="29"/>
        <v/>
      </c>
      <c r="R53" t="str">
        <f t="shared" ca="1" si="30"/>
        <v/>
      </c>
      <c r="S53" t="str">
        <f t="shared" si="31"/>
        <v/>
      </c>
      <c r="T53" t="str">
        <f t="shared" ca="1" si="32"/>
        <v/>
      </c>
      <c r="U53" t="str">
        <f t="shared" si="33"/>
        <v/>
      </c>
      <c r="V53" t="str">
        <f t="shared" ca="1" si="34"/>
        <v/>
      </c>
      <c r="W53" t="str">
        <f t="shared" si="35"/>
        <v/>
      </c>
      <c r="X53" s="3" t="str">
        <f t="shared" ca="1" si="36"/>
        <v/>
      </c>
      <c r="Y53" t="str">
        <f t="shared" si="37"/>
        <v/>
      </c>
      <c r="Z53" t="str">
        <f t="shared" si="38"/>
        <v/>
      </c>
      <c r="AA53" t="str">
        <f t="shared" ca="1" si="39"/>
        <v/>
      </c>
      <c r="AB53" t="str">
        <f t="shared" si="40"/>
        <v/>
      </c>
      <c r="AC53" s="3" t="str">
        <f t="shared" ca="1" si="41"/>
        <v/>
      </c>
      <c r="AD53" s="65">
        <f t="shared" si="42"/>
        <v>-1</v>
      </c>
      <c r="AE53" s="66" t="str">
        <f t="shared" si="43"/>
        <v/>
      </c>
      <c r="AF53" s="69" t="str">
        <f t="shared" si="44"/>
        <v/>
      </c>
      <c r="AG53" s="69" t="str">
        <f t="shared" si="45"/>
        <v/>
      </c>
      <c r="AH53" s="69" t="str">
        <f t="shared" si="46"/>
        <v/>
      </c>
      <c r="AI53" s="69" t="str">
        <f t="shared" si="47"/>
        <v/>
      </c>
      <c r="AJ53" s="68" t="str">
        <f t="shared" si="48"/>
        <v/>
      </c>
      <c r="AK53" s="69" t="str">
        <f t="shared" si="49"/>
        <v/>
      </c>
      <c r="AL53" s="69" t="str">
        <f t="shared" si="50"/>
        <v/>
      </c>
    </row>
    <row r="54" spans="3:38" x14ac:dyDescent="0.25">
      <c r="C54" s="2" cm="1">
        <f t="array" ref="C54">IF(C53 = -1, -1,
 IF(C53 &lt; Income_Max_Row, C53+1,
  IF(C53 = Income_Max_Row, Income_Total_Row,
   IF(C53 = Income_Total_Row, "/1",
    IF(C53 = "/1", Expenses_Header_Row,
     IF(C53 &lt; Expenses_Max_Row, C53+1,
      IF(C53 = Expenses_Max_Row, Expenses_Total_Row,
       IF(C53 = Expenses_Total_Row, "/2",
        IF(C53 = "/2", Savings_Header_Row,
         IF(C53 &lt; Savings_Max_Row, C53+1,
          IF(C53 = Savings_Max_Row, Savings_Total_Row, -1)))))))))))</f>
        <v>-1</v>
      </c>
      <c r="D54" s="3">
        <f t="shared" si="26"/>
        <v>-1</v>
      </c>
      <c r="E54" s="2" cm="1">
        <f t="array" ref="E54">1*OR(Row_ID = Income_Header_Row, Row_ID = Expenses_Header_Row, Row_ID = Savings_Header_Row)</f>
        <v>0</v>
      </c>
      <c r="F54">
        <f t="shared" si="27"/>
        <v>0</v>
      </c>
      <c r="G54" cm="1">
        <f t="array" ref="G54">1*OR(Row_ID = Income_Total_Row, Row_ID = Expenses_Total_Row, Row_ID = Savings_Total_Row)</f>
        <v>0</v>
      </c>
      <c r="H54" s="3">
        <f t="shared" si="28"/>
        <v>1</v>
      </c>
      <c r="I54" s="2" t="str" cm="1">
        <f t="array" ref="I54">IFERROR(INDEX('Budget Planning'!$C:$C, Header_Row_ID),"")</f>
        <v/>
      </c>
      <c r="J54" t="str" cm="1">
        <f t="array" ref="J54">IFERROR(INDEX('Budget Planning'!$C:$C, Row_ID),"")</f>
        <v/>
      </c>
      <c r="K54" s="62" t="str" cm="1">
        <f t="array" ref="K54">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54" s="62" t="str" cm="1">
        <f t="array" ref="L54">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54" s="62" t="str" cm="1">
        <f t="array" ref="M54">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54" s="63" t="str" cm="1">
        <f t="array" ref="N54">IF(OR(IS_Header,IS_Empty),"",
  INDEX('Budget Planning'!$E:$EM,Row_ID,
   MATCH(IF(Selected_Period = "Total Year", Selected_Year, DATE(Selected_Year,Selected_Period,1)),'Budget Planning'!$E$9:$CI$9,0) ))</f>
        <v/>
      </c>
      <c r="O54" s="2" t="str" cm="1">
        <f t="array" ref="O54">IF(IS_Cat,
  IF(Header_Row_ID = Income_Header_Row, MATCH(Income_Min_Row, $C:$C, 0),
   IF(Header_Row_ID = Expenses_Header_Row, MATCH(Expenses_Min_Row, $C:$C, 0),
    IF(Header_Row_ID = Savings_Header_Row, MATCH(Savings_Min_Row, $C:$C, 0),""))), "")</f>
        <v/>
      </c>
      <c r="P54" s="3" t="str" cm="1">
        <f t="array" ref="P54">IF(IS_Cat,
  IF(Header_Row_ID = Income_Header_Row, MATCH(Income_Max_Row, $C:$C, 0),
   IF(Header_Row_ID = Expenses_Header_Row, MATCH(Expenses_Max_Row, $C:$C, 0),
    IF(Header_Row_ID = Savings_Header_Row, MATCH(Savings_Max_Row, $C:$C, 0),""))), "")</f>
        <v/>
      </c>
      <c r="Q54" s="2" t="str">
        <f t="shared" si="29"/>
        <v/>
      </c>
      <c r="R54" t="str">
        <f t="shared" ca="1" si="30"/>
        <v/>
      </c>
      <c r="S54" t="str">
        <f t="shared" si="31"/>
        <v/>
      </c>
      <c r="T54" t="str">
        <f t="shared" ca="1" si="32"/>
        <v/>
      </c>
      <c r="U54" t="str">
        <f t="shared" si="33"/>
        <v/>
      </c>
      <c r="V54" t="str">
        <f t="shared" ca="1" si="34"/>
        <v/>
      </c>
      <c r="W54" t="str">
        <f t="shared" si="35"/>
        <v/>
      </c>
      <c r="X54" s="3" t="str">
        <f t="shared" ca="1" si="36"/>
        <v/>
      </c>
      <c r="Y54" t="str">
        <f t="shared" si="37"/>
        <v/>
      </c>
      <c r="Z54" t="str">
        <f t="shared" si="38"/>
        <v/>
      </c>
      <c r="AA54" t="str">
        <f t="shared" ca="1" si="39"/>
        <v/>
      </c>
      <c r="AB54" t="str">
        <f t="shared" si="40"/>
        <v/>
      </c>
      <c r="AC54" s="3" t="str">
        <f t="shared" ca="1" si="41"/>
        <v/>
      </c>
      <c r="AD54" s="65">
        <f t="shared" si="42"/>
        <v>-1</v>
      </c>
      <c r="AE54" s="66" t="str">
        <f t="shared" si="43"/>
        <v/>
      </c>
      <c r="AF54" s="69" t="str">
        <f t="shared" si="44"/>
        <v/>
      </c>
      <c r="AG54" s="69" t="str">
        <f t="shared" si="45"/>
        <v/>
      </c>
      <c r="AH54" s="69" t="str">
        <f t="shared" si="46"/>
        <v/>
      </c>
      <c r="AI54" s="69" t="str">
        <f t="shared" si="47"/>
        <v/>
      </c>
      <c r="AJ54" s="68" t="str">
        <f t="shared" si="48"/>
        <v/>
      </c>
      <c r="AK54" s="69" t="str">
        <f t="shared" si="49"/>
        <v/>
      </c>
      <c r="AL54" s="69" t="str">
        <f t="shared" si="50"/>
        <v/>
      </c>
    </row>
    <row r="55" spans="3:38" x14ac:dyDescent="0.25">
      <c r="C55" s="2" cm="1">
        <f t="array" ref="C55">IF(C54 = -1, -1,
 IF(C54 &lt; Income_Max_Row, C54+1,
  IF(C54 = Income_Max_Row, Income_Total_Row,
   IF(C54 = Income_Total_Row, "/1",
    IF(C54 = "/1", Expenses_Header_Row,
     IF(C54 &lt; Expenses_Max_Row, C54+1,
      IF(C54 = Expenses_Max_Row, Expenses_Total_Row,
       IF(C54 = Expenses_Total_Row, "/2",
        IF(C54 = "/2", Savings_Header_Row,
         IF(C54 &lt; Savings_Max_Row, C54+1,
          IF(C54 = Savings_Max_Row, Savings_Total_Row, -1)))))))))))</f>
        <v>-1</v>
      </c>
      <c r="D55" s="3">
        <f t="shared" si="26"/>
        <v>-1</v>
      </c>
      <c r="E55" s="2" cm="1">
        <f t="array" ref="E55">1*OR(Row_ID = Income_Header_Row, Row_ID = Expenses_Header_Row, Row_ID = Savings_Header_Row)</f>
        <v>0</v>
      </c>
      <c r="F55">
        <f t="shared" si="27"/>
        <v>0</v>
      </c>
      <c r="G55" cm="1">
        <f t="array" ref="G55">1*OR(Row_ID = Income_Total_Row, Row_ID = Expenses_Total_Row, Row_ID = Savings_Total_Row)</f>
        <v>0</v>
      </c>
      <c r="H55" s="3">
        <f t="shared" si="28"/>
        <v>1</v>
      </c>
      <c r="I55" s="2" t="str" cm="1">
        <f t="array" ref="I55">IFERROR(INDEX('Budget Planning'!$C:$C, Header_Row_ID),"")</f>
        <v/>
      </c>
      <c r="J55" t="str" cm="1">
        <f t="array" ref="J55">IFERROR(INDEX('Budget Planning'!$C:$C, Row_ID),"")</f>
        <v/>
      </c>
      <c r="K55" s="62" t="str" cm="1">
        <f t="array" ref="K55">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55" s="62" t="str" cm="1">
        <f t="array" ref="L55">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55" s="62" t="str" cm="1">
        <f t="array" ref="M55">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55" s="63" t="str" cm="1">
        <f t="array" ref="N55">IF(OR(IS_Header,IS_Empty),"",
  INDEX('Budget Planning'!$E:$EM,Row_ID,
   MATCH(IF(Selected_Period = "Total Year", Selected_Year, DATE(Selected_Year,Selected_Period,1)),'Budget Planning'!$E$9:$CI$9,0) ))</f>
        <v/>
      </c>
      <c r="O55" s="2" t="str" cm="1">
        <f t="array" ref="O55">IF(IS_Cat,
  IF(Header_Row_ID = Income_Header_Row, MATCH(Income_Min_Row, $C:$C, 0),
   IF(Header_Row_ID = Expenses_Header_Row, MATCH(Expenses_Min_Row, $C:$C, 0),
    IF(Header_Row_ID = Savings_Header_Row, MATCH(Savings_Min_Row, $C:$C, 0),""))), "")</f>
        <v/>
      </c>
      <c r="P55" s="3" t="str" cm="1">
        <f t="array" ref="P55">IF(IS_Cat,
  IF(Header_Row_ID = Income_Header_Row, MATCH(Income_Max_Row, $C:$C, 0),
   IF(Header_Row_ID = Expenses_Header_Row, MATCH(Expenses_Max_Row, $C:$C, 0),
    IF(Header_Row_ID = Savings_Header_Row, MATCH(Savings_Max_Row, $C:$C, 0),""))), "")</f>
        <v/>
      </c>
      <c r="Q55" s="2" t="str">
        <f t="shared" si="29"/>
        <v/>
      </c>
      <c r="R55" t="str">
        <f t="shared" ca="1" si="30"/>
        <v/>
      </c>
      <c r="S55" t="str">
        <f t="shared" si="31"/>
        <v/>
      </c>
      <c r="T55" t="str">
        <f t="shared" ca="1" si="32"/>
        <v/>
      </c>
      <c r="U55" t="str">
        <f t="shared" si="33"/>
        <v/>
      </c>
      <c r="V55" t="str">
        <f t="shared" ca="1" si="34"/>
        <v/>
      </c>
      <c r="W55" t="str">
        <f t="shared" si="35"/>
        <v/>
      </c>
      <c r="X55" s="3" t="str">
        <f t="shared" ca="1" si="36"/>
        <v/>
      </c>
      <c r="Y55" t="str">
        <f t="shared" si="37"/>
        <v/>
      </c>
      <c r="Z55" t="str">
        <f t="shared" si="38"/>
        <v/>
      </c>
      <c r="AA55" t="str">
        <f t="shared" ca="1" si="39"/>
        <v/>
      </c>
      <c r="AB55" t="str">
        <f t="shared" si="40"/>
        <v/>
      </c>
      <c r="AC55" s="3" t="str">
        <f t="shared" ca="1" si="41"/>
        <v/>
      </c>
      <c r="AD55" s="65">
        <f t="shared" si="42"/>
        <v>-1</v>
      </c>
      <c r="AE55" s="66" t="str">
        <f t="shared" si="43"/>
        <v/>
      </c>
      <c r="AF55" s="69" t="str">
        <f t="shared" si="44"/>
        <v/>
      </c>
      <c r="AG55" s="69" t="str">
        <f t="shared" si="45"/>
        <v/>
      </c>
      <c r="AH55" s="69" t="str">
        <f t="shared" si="46"/>
        <v/>
      </c>
      <c r="AI55" s="69" t="str">
        <f t="shared" si="47"/>
        <v/>
      </c>
      <c r="AJ55" s="68" t="str">
        <f t="shared" si="48"/>
        <v/>
      </c>
      <c r="AK55" s="69" t="str">
        <f t="shared" si="49"/>
        <v/>
      </c>
      <c r="AL55" s="69" t="str">
        <f t="shared" si="50"/>
        <v/>
      </c>
    </row>
    <row r="56" spans="3:38" x14ac:dyDescent="0.25">
      <c r="C56" s="2" cm="1">
        <f t="array" ref="C56">IF(C55 = -1, -1,
 IF(C55 &lt; Income_Max_Row, C55+1,
  IF(C55 = Income_Max_Row, Income_Total_Row,
   IF(C55 = Income_Total_Row, "/1",
    IF(C55 = "/1", Expenses_Header_Row,
     IF(C55 &lt; Expenses_Max_Row, C55+1,
      IF(C55 = Expenses_Max_Row, Expenses_Total_Row,
       IF(C55 = Expenses_Total_Row, "/2",
        IF(C55 = "/2", Savings_Header_Row,
         IF(C55 &lt; Savings_Max_Row, C55+1,
          IF(C55 = Savings_Max_Row, Savings_Total_Row, -1)))))))))))</f>
        <v>-1</v>
      </c>
      <c r="D56" s="3">
        <f t="shared" si="26"/>
        <v>-1</v>
      </c>
      <c r="E56" s="2" cm="1">
        <f t="array" ref="E56">1*OR(Row_ID = Income_Header_Row, Row_ID = Expenses_Header_Row, Row_ID = Savings_Header_Row)</f>
        <v>0</v>
      </c>
      <c r="F56">
        <f t="shared" si="27"/>
        <v>0</v>
      </c>
      <c r="G56" cm="1">
        <f t="array" ref="G56">1*OR(Row_ID = Income_Total_Row, Row_ID = Expenses_Total_Row, Row_ID = Savings_Total_Row)</f>
        <v>0</v>
      </c>
      <c r="H56" s="3">
        <f t="shared" si="28"/>
        <v>1</v>
      </c>
      <c r="I56" s="2" t="str" cm="1">
        <f t="array" ref="I56">IFERROR(INDEX('Budget Planning'!$C:$C, Header_Row_ID),"")</f>
        <v/>
      </c>
      <c r="J56" t="str" cm="1">
        <f t="array" ref="J56">IFERROR(INDEX('Budget Planning'!$C:$C, Row_ID),"")</f>
        <v/>
      </c>
      <c r="K56" s="62" t="str" cm="1">
        <f t="array" ref="K56">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56" s="62" t="str" cm="1">
        <f t="array" ref="L56">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56" s="62" t="str" cm="1">
        <f t="array" ref="M56">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56" s="63" t="str" cm="1">
        <f t="array" ref="N56">IF(OR(IS_Header,IS_Empty),"",
  INDEX('Budget Planning'!$E:$EM,Row_ID,
   MATCH(IF(Selected_Period = "Total Year", Selected_Year, DATE(Selected_Year,Selected_Period,1)),'Budget Planning'!$E$9:$CI$9,0) ))</f>
        <v/>
      </c>
      <c r="O56" s="2" t="str" cm="1">
        <f t="array" ref="O56">IF(IS_Cat,
  IF(Header_Row_ID = Income_Header_Row, MATCH(Income_Min_Row, $C:$C, 0),
   IF(Header_Row_ID = Expenses_Header_Row, MATCH(Expenses_Min_Row, $C:$C, 0),
    IF(Header_Row_ID = Savings_Header_Row, MATCH(Savings_Min_Row, $C:$C, 0),""))), "")</f>
        <v/>
      </c>
      <c r="P56" s="3" t="str" cm="1">
        <f t="array" ref="P56">IF(IS_Cat,
  IF(Header_Row_ID = Income_Header_Row, MATCH(Income_Max_Row, $C:$C, 0),
   IF(Header_Row_ID = Expenses_Header_Row, MATCH(Expenses_Max_Row, $C:$C, 0),
    IF(Header_Row_ID = Savings_Header_Row, MATCH(Savings_Max_Row, $C:$C, 0),""))), "")</f>
        <v/>
      </c>
      <c r="Q56" s="2" t="str">
        <f t="shared" si="29"/>
        <v/>
      </c>
      <c r="R56" t="str">
        <f t="shared" ca="1" si="30"/>
        <v/>
      </c>
      <c r="S56" t="str">
        <f t="shared" si="31"/>
        <v/>
      </c>
      <c r="T56" t="str">
        <f t="shared" ca="1" si="32"/>
        <v/>
      </c>
      <c r="U56" t="str">
        <f t="shared" si="33"/>
        <v/>
      </c>
      <c r="V56" t="str">
        <f t="shared" ca="1" si="34"/>
        <v/>
      </c>
      <c r="W56" t="str">
        <f t="shared" si="35"/>
        <v/>
      </c>
      <c r="X56" s="3" t="str">
        <f t="shared" ca="1" si="36"/>
        <v/>
      </c>
      <c r="Y56" t="str">
        <f t="shared" si="37"/>
        <v/>
      </c>
      <c r="Z56" t="str">
        <f t="shared" si="38"/>
        <v/>
      </c>
      <c r="AA56" t="str">
        <f t="shared" ca="1" si="39"/>
        <v/>
      </c>
      <c r="AB56" t="str">
        <f t="shared" si="40"/>
        <v/>
      </c>
      <c r="AC56" s="3" t="str">
        <f t="shared" ca="1" si="41"/>
        <v/>
      </c>
      <c r="AD56" s="65">
        <f t="shared" si="42"/>
        <v>-1</v>
      </c>
      <c r="AE56" s="66" t="str">
        <f t="shared" si="43"/>
        <v/>
      </c>
      <c r="AF56" s="69" t="str">
        <f t="shared" si="44"/>
        <v/>
      </c>
      <c r="AG56" s="69" t="str">
        <f t="shared" si="45"/>
        <v/>
      </c>
      <c r="AH56" s="69" t="str">
        <f t="shared" si="46"/>
        <v/>
      </c>
      <c r="AI56" s="69" t="str">
        <f t="shared" si="47"/>
        <v/>
      </c>
      <c r="AJ56" s="68" t="str">
        <f t="shared" si="48"/>
        <v/>
      </c>
      <c r="AK56" s="69" t="str">
        <f t="shared" si="49"/>
        <v/>
      </c>
      <c r="AL56" s="69" t="str">
        <f t="shared" si="50"/>
        <v/>
      </c>
    </row>
    <row r="57" spans="3:38" x14ac:dyDescent="0.25">
      <c r="C57" s="2" cm="1">
        <f t="array" ref="C57">IF(C56 = -1, -1,
 IF(C56 &lt; Income_Max_Row, C56+1,
  IF(C56 = Income_Max_Row, Income_Total_Row,
   IF(C56 = Income_Total_Row, "/1",
    IF(C56 = "/1", Expenses_Header_Row,
     IF(C56 &lt; Expenses_Max_Row, C56+1,
      IF(C56 = Expenses_Max_Row, Expenses_Total_Row,
       IF(C56 = Expenses_Total_Row, "/2",
        IF(C56 = "/2", Savings_Header_Row,
         IF(C56 &lt; Savings_Max_Row, C56+1,
          IF(C56 = Savings_Max_Row, Savings_Total_Row, -1)))))))))))</f>
        <v>-1</v>
      </c>
      <c r="D57" s="3">
        <f t="shared" si="26"/>
        <v>-1</v>
      </c>
      <c r="E57" s="2" cm="1">
        <f t="array" ref="E57">1*OR(Row_ID = Income_Header_Row, Row_ID = Expenses_Header_Row, Row_ID = Savings_Header_Row)</f>
        <v>0</v>
      </c>
      <c r="F57">
        <f t="shared" si="27"/>
        <v>0</v>
      </c>
      <c r="G57" cm="1">
        <f t="array" ref="G57">1*OR(Row_ID = Income_Total_Row, Row_ID = Expenses_Total_Row, Row_ID = Savings_Total_Row)</f>
        <v>0</v>
      </c>
      <c r="H57" s="3">
        <f t="shared" si="28"/>
        <v>1</v>
      </c>
      <c r="I57" s="2" t="str" cm="1">
        <f t="array" ref="I57">IFERROR(INDEX('Budget Planning'!$C:$C, Header_Row_ID),"")</f>
        <v/>
      </c>
      <c r="J57" t="str" cm="1">
        <f t="array" ref="J57">IFERROR(INDEX('Budget Planning'!$C:$C, Row_ID),"")</f>
        <v/>
      </c>
      <c r="K57" s="62" t="str" cm="1">
        <f t="array" ref="K57">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57" s="62" t="str" cm="1">
        <f t="array" ref="L57">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57" s="62" t="str" cm="1">
        <f t="array" ref="M57">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57" s="63" t="str" cm="1">
        <f t="array" ref="N57">IF(OR(IS_Header,IS_Empty),"",
  INDEX('Budget Planning'!$E:$EM,Row_ID,
   MATCH(IF(Selected_Period = "Total Year", Selected_Year, DATE(Selected_Year,Selected_Period,1)),'Budget Planning'!$E$9:$CI$9,0) ))</f>
        <v/>
      </c>
      <c r="O57" s="2" t="str" cm="1">
        <f t="array" ref="O57">IF(IS_Cat,
  IF(Header_Row_ID = Income_Header_Row, MATCH(Income_Min_Row, $C:$C, 0),
   IF(Header_Row_ID = Expenses_Header_Row, MATCH(Expenses_Min_Row, $C:$C, 0),
    IF(Header_Row_ID = Savings_Header_Row, MATCH(Savings_Min_Row, $C:$C, 0),""))), "")</f>
        <v/>
      </c>
      <c r="P57" s="3" t="str" cm="1">
        <f t="array" ref="P57">IF(IS_Cat,
  IF(Header_Row_ID = Income_Header_Row, MATCH(Income_Max_Row, $C:$C, 0),
   IF(Header_Row_ID = Expenses_Header_Row, MATCH(Expenses_Max_Row, $C:$C, 0),
    IF(Header_Row_ID = Savings_Header_Row, MATCH(Savings_Max_Row, $C:$C, 0),""))), "")</f>
        <v/>
      </c>
      <c r="Q57" s="2" t="str">
        <f t="shared" si="29"/>
        <v/>
      </c>
      <c r="R57" t="str">
        <f t="shared" ca="1" si="30"/>
        <v/>
      </c>
      <c r="S57" t="str">
        <f t="shared" si="31"/>
        <v/>
      </c>
      <c r="T57" t="str">
        <f t="shared" ca="1" si="32"/>
        <v/>
      </c>
      <c r="U57" t="str">
        <f t="shared" si="33"/>
        <v/>
      </c>
      <c r="V57" t="str">
        <f t="shared" ca="1" si="34"/>
        <v/>
      </c>
      <c r="W57" t="str">
        <f t="shared" si="35"/>
        <v/>
      </c>
      <c r="X57" s="3" t="str">
        <f t="shared" ca="1" si="36"/>
        <v/>
      </c>
      <c r="Y57" t="str">
        <f t="shared" si="37"/>
        <v/>
      </c>
      <c r="Z57" t="str">
        <f t="shared" si="38"/>
        <v/>
      </c>
      <c r="AA57" t="str">
        <f t="shared" ca="1" si="39"/>
        <v/>
      </c>
      <c r="AB57" t="str">
        <f t="shared" si="40"/>
        <v/>
      </c>
      <c r="AC57" s="3" t="str">
        <f t="shared" ca="1" si="41"/>
        <v/>
      </c>
      <c r="AD57" s="65">
        <f t="shared" si="42"/>
        <v>-1</v>
      </c>
      <c r="AE57" s="66" t="str">
        <f t="shared" si="43"/>
        <v/>
      </c>
      <c r="AF57" s="69" t="str">
        <f t="shared" si="44"/>
        <v/>
      </c>
      <c r="AG57" s="69" t="str">
        <f t="shared" si="45"/>
        <v/>
      </c>
      <c r="AH57" s="69" t="str">
        <f t="shared" si="46"/>
        <v/>
      </c>
      <c r="AI57" s="69" t="str">
        <f t="shared" si="47"/>
        <v/>
      </c>
      <c r="AJ57" s="68" t="str">
        <f t="shared" si="48"/>
        <v/>
      </c>
      <c r="AK57" s="69" t="str">
        <f t="shared" si="49"/>
        <v/>
      </c>
      <c r="AL57" s="69" t="str">
        <f t="shared" si="50"/>
        <v/>
      </c>
    </row>
    <row r="58" spans="3:38" x14ac:dyDescent="0.25">
      <c r="C58" s="2" cm="1">
        <f t="array" ref="C58">IF(C57 = -1, -1,
 IF(C57 &lt; Income_Max_Row, C57+1,
  IF(C57 = Income_Max_Row, Income_Total_Row,
   IF(C57 = Income_Total_Row, "/1",
    IF(C57 = "/1", Expenses_Header_Row,
     IF(C57 &lt; Expenses_Max_Row, C57+1,
      IF(C57 = Expenses_Max_Row, Expenses_Total_Row,
       IF(C57 = Expenses_Total_Row, "/2",
        IF(C57 = "/2", Savings_Header_Row,
         IF(C57 &lt; Savings_Max_Row, C57+1,
          IF(C57 = Savings_Max_Row, Savings_Total_Row, -1)))))))))))</f>
        <v>-1</v>
      </c>
      <c r="D58" s="3">
        <f t="shared" si="26"/>
        <v>-1</v>
      </c>
      <c r="E58" s="2" cm="1">
        <f t="array" ref="E58">1*OR(Row_ID = Income_Header_Row, Row_ID = Expenses_Header_Row, Row_ID = Savings_Header_Row)</f>
        <v>0</v>
      </c>
      <c r="F58">
        <f t="shared" si="27"/>
        <v>0</v>
      </c>
      <c r="G58" cm="1">
        <f t="array" ref="G58">1*OR(Row_ID = Income_Total_Row, Row_ID = Expenses_Total_Row, Row_ID = Savings_Total_Row)</f>
        <v>0</v>
      </c>
      <c r="H58" s="3">
        <f t="shared" si="28"/>
        <v>1</v>
      </c>
      <c r="I58" s="2" t="str" cm="1">
        <f t="array" ref="I58">IFERROR(INDEX('Budget Planning'!$C:$C, Header_Row_ID),"")</f>
        <v/>
      </c>
      <c r="J58" t="str" cm="1">
        <f t="array" ref="J58">IFERROR(INDEX('Budget Planning'!$C:$C, Row_ID),"")</f>
        <v/>
      </c>
      <c r="K58" s="62" t="str" cm="1">
        <f t="array" ref="K58">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58" s="62" t="str" cm="1">
        <f t="array" ref="L58">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58" s="62" t="str" cm="1">
        <f t="array" ref="M58">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58" s="63" t="str" cm="1">
        <f t="array" ref="N58">IF(OR(IS_Header,IS_Empty),"",
  INDEX('Budget Planning'!$E:$EM,Row_ID,
   MATCH(IF(Selected_Period = "Total Year", Selected_Year, DATE(Selected_Year,Selected_Period,1)),'Budget Planning'!$E$9:$CI$9,0) ))</f>
        <v/>
      </c>
      <c r="O58" s="2" t="str" cm="1">
        <f t="array" ref="O58">IF(IS_Cat,
  IF(Header_Row_ID = Income_Header_Row, MATCH(Income_Min_Row, $C:$C, 0),
   IF(Header_Row_ID = Expenses_Header_Row, MATCH(Expenses_Min_Row, $C:$C, 0),
    IF(Header_Row_ID = Savings_Header_Row, MATCH(Savings_Min_Row, $C:$C, 0),""))), "")</f>
        <v/>
      </c>
      <c r="P58" s="3" t="str" cm="1">
        <f t="array" ref="P58">IF(IS_Cat,
  IF(Header_Row_ID = Income_Header_Row, MATCH(Income_Max_Row, $C:$C, 0),
   IF(Header_Row_ID = Expenses_Header_Row, MATCH(Expenses_Max_Row, $C:$C, 0),
    IF(Header_Row_ID = Savings_Header_Row, MATCH(Savings_Max_Row, $C:$C, 0),""))), "")</f>
        <v/>
      </c>
      <c r="Q58" s="2" t="str">
        <f t="shared" si="29"/>
        <v/>
      </c>
      <c r="R58" t="str">
        <f t="shared" ca="1" si="30"/>
        <v/>
      </c>
      <c r="S58" t="str">
        <f t="shared" si="31"/>
        <v/>
      </c>
      <c r="T58" t="str">
        <f t="shared" ca="1" si="32"/>
        <v/>
      </c>
      <c r="U58" t="str">
        <f t="shared" si="33"/>
        <v/>
      </c>
      <c r="V58" t="str">
        <f t="shared" ca="1" si="34"/>
        <v/>
      </c>
      <c r="W58" t="str">
        <f t="shared" si="35"/>
        <v/>
      </c>
      <c r="X58" s="3" t="str">
        <f t="shared" ca="1" si="36"/>
        <v/>
      </c>
      <c r="Y58" t="str">
        <f t="shared" si="37"/>
        <v/>
      </c>
      <c r="Z58" t="str">
        <f t="shared" si="38"/>
        <v/>
      </c>
      <c r="AA58" t="str">
        <f t="shared" ca="1" si="39"/>
        <v/>
      </c>
      <c r="AB58" t="str">
        <f t="shared" si="40"/>
        <v/>
      </c>
      <c r="AC58" s="3" t="str">
        <f t="shared" ca="1" si="41"/>
        <v/>
      </c>
      <c r="AD58" s="65">
        <f t="shared" si="42"/>
        <v>-1</v>
      </c>
      <c r="AE58" s="66" t="str">
        <f t="shared" si="43"/>
        <v/>
      </c>
      <c r="AF58" s="69" t="str">
        <f t="shared" si="44"/>
        <v/>
      </c>
      <c r="AG58" s="69" t="str">
        <f t="shared" si="45"/>
        <v/>
      </c>
      <c r="AH58" s="69" t="str">
        <f t="shared" si="46"/>
        <v/>
      </c>
      <c r="AI58" s="69" t="str">
        <f t="shared" si="47"/>
        <v/>
      </c>
      <c r="AJ58" s="68" t="str">
        <f t="shared" si="48"/>
        <v/>
      </c>
      <c r="AK58" s="69" t="str">
        <f t="shared" si="49"/>
        <v/>
      </c>
      <c r="AL58" s="69" t="str">
        <f t="shared" si="50"/>
        <v/>
      </c>
    </row>
    <row r="59" spans="3:38" x14ac:dyDescent="0.25">
      <c r="C59" s="2" cm="1">
        <f t="array" ref="C59">IF(C58 = -1, -1,
 IF(C58 &lt; Income_Max_Row, C58+1,
  IF(C58 = Income_Max_Row, Income_Total_Row,
   IF(C58 = Income_Total_Row, "/1",
    IF(C58 = "/1", Expenses_Header_Row,
     IF(C58 &lt; Expenses_Max_Row, C58+1,
      IF(C58 = Expenses_Max_Row, Expenses_Total_Row,
       IF(C58 = Expenses_Total_Row, "/2",
        IF(C58 = "/2", Savings_Header_Row,
         IF(C58 &lt; Savings_Max_Row, C58+1,
          IF(C58 = Savings_Max_Row, Savings_Total_Row, -1)))))))))))</f>
        <v>-1</v>
      </c>
      <c r="D59" s="3">
        <f t="shared" si="26"/>
        <v>-1</v>
      </c>
      <c r="E59" s="2" cm="1">
        <f t="array" ref="E59">1*OR(Row_ID = Income_Header_Row, Row_ID = Expenses_Header_Row, Row_ID = Savings_Header_Row)</f>
        <v>0</v>
      </c>
      <c r="F59">
        <f t="shared" si="27"/>
        <v>0</v>
      </c>
      <c r="G59" cm="1">
        <f t="array" ref="G59">1*OR(Row_ID = Income_Total_Row, Row_ID = Expenses_Total_Row, Row_ID = Savings_Total_Row)</f>
        <v>0</v>
      </c>
      <c r="H59" s="3">
        <f t="shared" si="28"/>
        <v>1</v>
      </c>
      <c r="I59" s="2" t="str" cm="1">
        <f t="array" ref="I59">IFERROR(INDEX('Budget Planning'!$C:$C, Header_Row_ID),"")</f>
        <v/>
      </c>
      <c r="J59" t="str" cm="1">
        <f t="array" ref="J59">IFERROR(INDEX('Budget Planning'!$C:$C, Row_ID),"")</f>
        <v/>
      </c>
      <c r="K59" s="62" t="str" cm="1">
        <f t="array" ref="K59">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59" s="62" t="str" cm="1">
        <f t="array" ref="L59">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59" s="62" t="str" cm="1">
        <f t="array" ref="M59">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59" s="63" t="str" cm="1">
        <f t="array" ref="N59">IF(OR(IS_Header,IS_Empty),"",
  INDEX('Budget Planning'!$E:$EM,Row_ID,
   MATCH(IF(Selected_Period = "Total Year", Selected_Year, DATE(Selected_Year,Selected_Period,1)),'Budget Planning'!$E$9:$CI$9,0) ))</f>
        <v/>
      </c>
      <c r="O59" s="2" t="str" cm="1">
        <f t="array" ref="O59">IF(IS_Cat,
  IF(Header_Row_ID = Income_Header_Row, MATCH(Income_Min_Row, $C:$C, 0),
   IF(Header_Row_ID = Expenses_Header_Row, MATCH(Expenses_Min_Row, $C:$C, 0),
    IF(Header_Row_ID = Savings_Header_Row, MATCH(Savings_Min_Row, $C:$C, 0),""))), "")</f>
        <v/>
      </c>
      <c r="P59" s="3" t="str" cm="1">
        <f t="array" ref="P59">IF(IS_Cat,
  IF(Header_Row_ID = Income_Header_Row, MATCH(Income_Max_Row, $C:$C, 0),
   IF(Header_Row_ID = Expenses_Header_Row, MATCH(Expenses_Max_Row, $C:$C, 0),
    IF(Header_Row_ID = Savings_Header_Row, MATCH(Savings_Max_Row, $C:$C, 0),""))), "")</f>
        <v/>
      </c>
      <c r="Q59" s="2" t="str">
        <f t="shared" si="29"/>
        <v/>
      </c>
      <c r="R59" t="str">
        <f t="shared" ca="1" si="30"/>
        <v/>
      </c>
      <c r="S59" t="str">
        <f t="shared" si="31"/>
        <v/>
      </c>
      <c r="T59" t="str">
        <f t="shared" ca="1" si="32"/>
        <v/>
      </c>
      <c r="U59" t="str">
        <f t="shared" si="33"/>
        <v/>
      </c>
      <c r="V59" t="str">
        <f t="shared" ca="1" si="34"/>
        <v/>
      </c>
      <c r="W59" t="str">
        <f t="shared" si="35"/>
        <v/>
      </c>
      <c r="X59" s="3" t="str">
        <f t="shared" ca="1" si="36"/>
        <v/>
      </c>
      <c r="Y59" t="str">
        <f t="shared" si="37"/>
        <v/>
      </c>
      <c r="Z59" t="str">
        <f t="shared" si="38"/>
        <v/>
      </c>
      <c r="AA59" t="str">
        <f t="shared" ca="1" si="39"/>
        <v/>
      </c>
      <c r="AB59" t="str">
        <f t="shared" si="40"/>
        <v/>
      </c>
      <c r="AC59" s="3" t="str">
        <f t="shared" ca="1" si="41"/>
        <v/>
      </c>
      <c r="AD59" s="65">
        <f t="shared" si="42"/>
        <v>-1</v>
      </c>
      <c r="AE59" s="66" t="str">
        <f t="shared" si="43"/>
        <v/>
      </c>
      <c r="AF59" s="69" t="str">
        <f t="shared" si="44"/>
        <v/>
      </c>
      <c r="AG59" s="69" t="str">
        <f t="shared" si="45"/>
        <v/>
      </c>
      <c r="AH59" s="69" t="str">
        <f t="shared" si="46"/>
        <v/>
      </c>
      <c r="AI59" s="69" t="str">
        <f t="shared" si="47"/>
        <v/>
      </c>
      <c r="AJ59" s="68" t="str">
        <f t="shared" si="48"/>
        <v/>
      </c>
      <c r="AK59" s="69" t="str">
        <f t="shared" si="49"/>
        <v/>
      </c>
      <c r="AL59" s="69" t="str">
        <f t="shared" si="50"/>
        <v/>
      </c>
    </row>
    <row r="60" spans="3:38" x14ac:dyDescent="0.25">
      <c r="C60" s="2" cm="1">
        <f t="array" ref="C60">IF(C59 = -1, -1,
 IF(C59 &lt; Income_Max_Row, C59+1,
  IF(C59 = Income_Max_Row, Income_Total_Row,
   IF(C59 = Income_Total_Row, "/1",
    IF(C59 = "/1", Expenses_Header_Row,
     IF(C59 &lt; Expenses_Max_Row, C59+1,
      IF(C59 = Expenses_Max_Row, Expenses_Total_Row,
       IF(C59 = Expenses_Total_Row, "/2",
        IF(C59 = "/2", Savings_Header_Row,
         IF(C59 &lt; Savings_Max_Row, C59+1,
          IF(C59 = Savings_Max_Row, Savings_Total_Row, -1)))))))))))</f>
        <v>-1</v>
      </c>
      <c r="D60" s="3">
        <f t="shared" si="26"/>
        <v>-1</v>
      </c>
      <c r="E60" s="2" cm="1">
        <f t="array" ref="E60">1*OR(Row_ID = Income_Header_Row, Row_ID = Expenses_Header_Row, Row_ID = Savings_Header_Row)</f>
        <v>0</v>
      </c>
      <c r="F60">
        <f t="shared" si="27"/>
        <v>0</v>
      </c>
      <c r="G60" cm="1">
        <f t="array" ref="G60">1*OR(Row_ID = Income_Total_Row, Row_ID = Expenses_Total_Row, Row_ID = Savings_Total_Row)</f>
        <v>0</v>
      </c>
      <c r="H60" s="3">
        <f t="shared" si="28"/>
        <v>1</v>
      </c>
      <c r="I60" s="2" t="str" cm="1">
        <f t="array" ref="I60">IFERROR(INDEX('Budget Planning'!$C:$C, Header_Row_ID),"")</f>
        <v/>
      </c>
      <c r="J60" t="str" cm="1">
        <f t="array" ref="J60">IFERROR(INDEX('Budget Planning'!$C:$C, Row_ID),"")</f>
        <v/>
      </c>
      <c r="K60" s="62" t="str" cm="1">
        <f t="array" ref="K60">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60" s="62" t="str" cm="1">
        <f t="array" ref="L60">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60" s="62" t="str" cm="1">
        <f t="array" ref="M60">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60" s="63" t="str" cm="1">
        <f t="array" ref="N60">IF(OR(IS_Header,IS_Empty),"",
  INDEX('Budget Planning'!$E:$EM,Row_ID,
   MATCH(IF(Selected_Period = "Total Year", Selected_Year, DATE(Selected_Year,Selected_Period,1)),'Budget Planning'!$E$9:$CI$9,0) ))</f>
        <v/>
      </c>
      <c r="O60" s="2" t="str" cm="1">
        <f t="array" ref="O60">IF(IS_Cat,
  IF(Header_Row_ID = Income_Header_Row, MATCH(Income_Min_Row, $C:$C, 0),
   IF(Header_Row_ID = Expenses_Header_Row, MATCH(Expenses_Min_Row, $C:$C, 0),
    IF(Header_Row_ID = Savings_Header_Row, MATCH(Savings_Min_Row, $C:$C, 0),""))), "")</f>
        <v/>
      </c>
      <c r="P60" s="3" t="str" cm="1">
        <f t="array" ref="P60">IF(IS_Cat,
  IF(Header_Row_ID = Income_Header_Row, MATCH(Income_Max_Row, $C:$C, 0),
   IF(Header_Row_ID = Expenses_Header_Row, MATCH(Expenses_Max_Row, $C:$C, 0),
    IF(Header_Row_ID = Savings_Header_Row, MATCH(Savings_Max_Row, $C:$C, 0),""))), "")</f>
        <v/>
      </c>
      <c r="Q60" s="2" t="str">
        <f t="shared" si="29"/>
        <v/>
      </c>
      <c r="R60" t="str">
        <f t="shared" ca="1" si="30"/>
        <v/>
      </c>
      <c r="S60" t="str">
        <f t="shared" si="31"/>
        <v/>
      </c>
      <c r="T60" t="str">
        <f t="shared" ca="1" si="32"/>
        <v/>
      </c>
      <c r="U60" t="str">
        <f t="shared" si="33"/>
        <v/>
      </c>
      <c r="V60" t="str">
        <f t="shared" ca="1" si="34"/>
        <v/>
      </c>
      <c r="W60" t="str">
        <f t="shared" si="35"/>
        <v/>
      </c>
      <c r="X60" s="3" t="str">
        <f t="shared" ca="1" si="36"/>
        <v/>
      </c>
      <c r="Y60" t="str">
        <f t="shared" si="37"/>
        <v/>
      </c>
      <c r="Z60" t="str">
        <f t="shared" si="38"/>
        <v/>
      </c>
      <c r="AA60" t="str">
        <f t="shared" ca="1" si="39"/>
        <v/>
      </c>
      <c r="AB60" t="str">
        <f t="shared" si="40"/>
        <v/>
      </c>
      <c r="AC60" s="3" t="str">
        <f t="shared" ca="1" si="41"/>
        <v/>
      </c>
      <c r="AD60" s="65">
        <f t="shared" si="42"/>
        <v>-1</v>
      </c>
      <c r="AE60" s="66" t="str">
        <f t="shared" si="43"/>
        <v/>
      </c>
      <c r="AF60" s="69" t="str">
        <f t="shared" si="44"/>
        <v/>
      </c>
      <c r="AG60" s="69" t="str">
        <f t="shared" si="45"/>
        <v/>
      </c>
      <c r="AH60" s="69" t="str">
        <f t="shared" si="46"/>
        <v/>
      </c>
      <c r="AI60" s="69" t="str">
        <f t="shared" si="47"/>
        <v/>
      </c>
      <c r="AJ60" s="68" t="str">
        <f t="shared" si="48"/>
        <v/>
      </c>
      <c r="AK60" s="69" t="str">
        <f t="shared" si="49"/>
        <v/>
      </c>
      <c r="AL60" s="69" t="str">
        <f t="shared" si="50"/>
        <v/>
      </c>
    </row>
    <row r="61" spans="3:38" x14ac:dyDescent="0.25">
      <c r="C61" s="2" cm="1">
        <f t="array" ref="C61">IF(C60 = -1, -1,
 IF(C60 &lt; Income_Max_Row, C60+1,
  IF(C60 = Income_Max_Row, Income_Total_Row,
   IF(C60 = Income_Total_Row, "/1",
    IF(C60 = "/1", Expenses_Header_Row,
     IF(C60 &lt; Expenses_Max_Row, C60+1,
      IF(C60 = Expenses_Max_Row, Expenses_Total_Row,
       IF(C60 = Expenses_Total_Row, "/2",
        IF(C60 = "/2", Savings_Header_Row,
         IF(C60 &lt; Savings_Max_Row, C60+1,
          IF(C60 = Savings_Max_Row, Savings_Total_Row, -1)))))))))))</f>
        <v>-1</v>
      </c>
      <c r="D61" s="3">
        <f t="shared" si="26"/>
        <v>-1</v>
      </c>
      <c r="E61" s="2" cm="1">
        <f t="array" ref="E61">1*OR(Row_ID = Income_Header_Row, Row_ID = Expenses_Header_Row, Row_ID = Savings_Header_Row)</f>
        <v>0</v>
      </c>
      <c r="F61">
        <f t="shared" si="27"/>
        <v>0</v>
      </c>
      <c r="G61" cm="1">
        <f t="array" ref="G61">1*OR(Row_ID = Income_Total_Row, Row_ID = Expenses_Total_Row, Row_ID = Savings_Total_Row)</f>
        <v>0</v>
      </c>
      <c r="H61" s="3">
        <f t="shared" si="28"/>
        <v>1</v>
      </c>
      <c r="I61" s="2" t="str" cm="1">
        <f t="array" ref="I61">IFERROR(INDEX('Budget Planning'!$C:$C, Header_Row_ID),"")</f>
        <v/>
      </c>
      <c r="J61" t="str" cm="1">
        <f t="array" ref="J61">IFERROR(INDEX('Budget Planning'!$C:$C, Row_ID),"")</f>
        <v/>
      </c>
      <c r="K61" s="62" t="str" cm="1">
        <f t="array" ref="K6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61" s="62" t="str" cm="1">
        <f t="array" ref="L6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61" s="62" t="str" cm="1">
        <f t="array" ref="M6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61" s="63" t="str" cm="1">
        <f t="array" ref="N61">IF(OR(IS_Header,IS_Empty),"",
  INDEX('Budget Planning'!$E:$EM,Row_ID,
   MATCH(IF(Selected_Period = "Total Year", Selected_Year, DATE(Selected_Year,Selected_Period,1)),'Budget Planning'!$E$9:$CI$9,0) ))</f>
        <v/>
      </c>
      <c r="O61" s="2" t="str" cm="1">
        <f t="array" ref="O61">IF(IS_Cat,
  IF(Header_Row_ID = Income_Header_Row, MATCH(Income_Min_Row, $C:$C, 0),
   IF(Header_Row_ID = Expenses_Header_Row, MATCH(Expenses_Min_Row, $C:$C, 0),
    IF(Header_Row_ID = Savings_Header_Row, MATCH(Savings_Min_Row, $C:$C, 0),""))), "")</f>
        <v/>
      </c>
      <c r="P61" s="3" t="str" cm="1">
        <f t="array" ref="P61">IF(IS_Cat,
  IF(Header_Row_ID = Income_Header_Row, MATCH(Income_Max_Row, $C:$C, 0),
   IF(Header_Row_ID = Expenses_Header_Row, MATCH(Expenses_Max_Row, $C:$C, 0),
    IF(Header_Row_ID = Savings_Header_Row, MATCH(Savings_Max_Row, $C:$C, 0),""))), "")</f>
        <v/>
      </c>
      <c r="Q61" s="2" t="str">
        <f t="shared" si="29"/>
        <v/>
      </c>
      <c r="R61" t="str">
        <f t="shared" ca="1" si="30"/>
        <v/>
      </c>
      <c r="S61" t="str">
        <f t="shared" si="31"/>
        <v/>
      </c>
      <c r="T61" t="str">
        <f t="shared" ca="1" si="32"/>
        <v/>
      </c>
      <c r="U61" t="str">
        <f t="shared" si="33"/>
        <v/>
      </c>
      <c r="V61" t="str">
        <f t="shared" ca="1" si="34"/>
        <v/>
      </c>
      <c r="W61" t="str">
        <f t="shared" si="35"/>
        <v/>
      </c>
      <c r="X61" s="3" t="str">
        <f t="shared" ca="1" si="36"/>
        <v/>
      </c>
      <c r="Y61" t="str">
        <f t="shared" si="37"/>
        <v/>
      </c>
      <c r="Z61" t="str">
        <f t="shared" si="38"/>
        <v/>
      </c>
      <c r="AA61" t="str">
        <f t="shared" ca="1" si="39"/>
        <v/>
      </c>
      <c r="AB61" t="str">
        <f t="shared" si="40"/>
        <v/>
      </c>
      <c r="AC61" s="3" t="str">
        <f t="shared" ca="1" si="41"/>
        <v/>
      </c>
      <c r="AD61" s="65">
        <f t="shared" si="42"/>
        <v>-1</v>
      </c>
      <c r="AE61" s="66" t="str">
        <f t="shared" si="43"/>
        <v/>
      </c>
      <c r="AF61" s="69" t="str">
        <f t="shared" si="44"/>
        <v/>
      </c>
      <c r="AG61" s="69" t="str">
        <f t="shared" si="45"/>
        <v/>
      </c>
      <c r="AH61" s="69" t="str">
        <f t="shared" si="46"/>
        <v/>
      </c>
      <c r="AI61" s="69" t="str">
        <f t="shared" si="47"/>
        <v/>
      </c>
      <c r="AJ61" s="68" t="str">
        <f t="shared" si="48"/>
        <v/>
      </c>
      <c r="AK61" s="69" t="str">
        <f t="shared" si="49"/>
        <v/>
      </c>
      <c r="AL61" s="69" t="str">
        <f t="shared" si="50"/>
        <v/>
      </c>
    </row>
    <row r="62" spans="3:38" x14ac:dyDescent="0.25">
      <c r="C62" s="2" cm="1">
        <f t="array" ref="C62">IF(C61 = -1, -1,
 IF(C61 &lt; Income_Max_Row, C61+1,
  IF(C61 = Income_Max_Row, Income_Total_Row,
   IF(C61 = Income_Total_Row, "/1",
    IF(C61 = "/1", Expenses_Header_Row,
     IF(C61 &lt; Expenses_Max_Row, C61+1,
      IF(C61 = Expenses_Max_Row, Expenses_Total_Row,
       IF(C61 = Expenses_Total_Row, "/2",
        IF(C61 = "/2", Savings_Header_Row,
         IF(C61 &lt; Savings_Max_Row, C61+1,
          IF(C61 = Savings_Max_Row, Savings_Total_Row, -1)))))))))))</f>
        <v>-1</v>
      </c>
      <c r="D62" s="3">
        <f t="shared" si="26"/>
        <v>-1</v>
      </c>
      <c r="E62" s="2" cm="1">
        <f t="array" ref="E62">1*OR(Row_ID = Income_Header_Row, Row_ID = Expenses_Header_Row, Row_ID = Savings_Header_Row)</f>
        <v>0</v>
      </c>
      <c r="F62">
        <f t="shared" si="27"/>
        <v>0</v>
      </c>
      <c r="G62" cm="1">
        <f t="array" ref="G62">1*OR(Row_ID = Income_Total_Row, Row_ID = Expenses_Total_Row, Row_ID = Savings_Total_Row)</f>
        <v>0</v>
      </c>
      <c r="H62" s="3">
        <f t="shared" si="28"/>
        <v>1</v>
      </c>
      <c r="I62" s="2" t="str" cm="1">
        <f t="array" ref="I62">IFERROR(INDEX('Budget Planning'!$C:$C, Header_Row_ID),"")</f>
        <v/>
      </c>
      <c r="J62" t="str" cm="1">
        <f t="array" ref="J62">IFERROR(INDEX('Budget Planning'!$C:$C, Row_ID),"")</f>
        <v/>
      </c>
      <c r="K62" s="62" t="str" cm="1">
        <f t="array" ref="K62">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62" s="62" t="str" cm="1">
        <f t="array" ref="L62">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62" s="62" t="str" cm="1">
        <f t="array" ref="M62">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62" s="63" t="str" cm="1">
        <f t="array" ref="N62">IF(OR(IS_Header,IS_Empty),"",
  INDEX('Budget Planning'!$E:$EM,Row_ID,
   MATCH(IF(Selected_Period = "Total Year", Selected_Year, DATE(Selected_Year,Selected_Period,1)),'Budget Planning'!$E$9:$CI$9,0) ))</f>
        <v/>
      </c>
      <c r="O62" s="2" t="str" cm="1">
        <f t="array" ref="O62">IF(IS_Cat,
  IF(Header_Row_ID = Income_Header_Row, MATCH(Income_Min_Row, $C:$C, 0),
   IF(Header_Row_ID = Expenses_Header_Row, MATCH(Expenses_Min_Row, $C:$C, 0),
    IF(Header_Row_ID = Savings_Header_Row, MATCH(Savings_Min_Row, $C:$C, 0),""))), "")</f>
        <v/>
      </c>
      <c r="P62" s="3" t="str" cm="1">
        <f t="array" ref="P62">IF(IS_Cat,
  IF(Header_Row_ID = Income_Header_Row, MATCH(Income_Max_Row, $C:$C, 0),
   IF(Header_Row_ID = Expenses_Header_Row, MATCH(Expenses_Max_Row, $C:$C, 0),
    IF(Header_Row_ID = Savings_Header_Row, MATCH(Savings_Max_Row, $C:$C, 0),""))), "")</f>
        <v/>
      </c>
      <c r="Q62" s="2" t="str">
        <f t="shared" si="29"/>
        <v/>
      </c>
      <c r="R62" t="str">
        <f t="shared" ca="1" si="30"/>
        <v/>
      </c>
      <c r="S62" t="str">
        <f t="shared" si="31"/>
        <v/>
      </c>
      <c r="T62" t="str">
        <f t="shared" ca="1" si="32"/>
        <v/>
      </c>
      <c r="U62" t="str">
        <f t="shared" si="33"/>
        <v/>
      </c>
      <c r="V62" t="str">
        <f t="shared" ca="1" si="34"/>
        <v/>
      </c>
      <c r="W62" t="str">
        <f t="shared" si="35"/>
        <v/>
      </c>
      <c r="X62" s="3" t="str">
        <f t="shared" ca="1" si="36"/>
        <v/>
      </c>
      <c r="Y62" t="str">
        <f t="shared" si="37"/>
        <v/>
      </c>
      <c r="Z62" t="str">
        <f t="shared" si="38"/>
        <v/>
      </c>
      <c r="AA62" t="str">
        <f t="shared" ca="1" si="39"/>
        <v/>
      </c>
      <c r="AB62" t="str">
        <f t="shared" si="40"/>
        <v/>
      </c>
      <c r="AC62" s="3" t="str">
        <f t="shared" ca="1" si="41"/>
        <v/>
      </c>
      <c r="AD62" s="65">
        <f t="shared" si="42"/>
        <v>-1</v>
      </c>
      <c r="AE62" s="66" t="str">
        <f t="shared" si="43"/>
        <v/>
      </c>
      <c r="AF62" s="69" t="str">
        <f t="shared" si="44"/>
        <v/>
      </c>
      <c r="AG62" s="69" t="str">
        <f t="shared" si="45"/>
        <v/>
      </c>
      <c r="AH62" s="69" t="str">
        <f t="shared" si="46"/>
        <v/>
      </c>
      <c r="AI62" s="69" t="str">
        <f t="shared" si="47"/>
        <v/>
      </c>
      <c r="AJ62" s="68" t="str">
        <f t="shared" si="48"/>
        <v/>
      </c>
      <c r="AK62" s="69" t="str">
        <f t="shared" si="49"/>
        <v/>
      </c>
      <c r="AL62" s="69" t="str">
        <f t="shared" si="50"/>
        <v/>
      </c>
    </row>
    <row r="63" spans="3:38" x14ac:dyDescent="0.25">
      <c r="C63" s="2" cm="1">
        <f t="array" ref="C63">IF(C62 = -1, -1,
 IF(C62 &lt; Income_Max_Row, C62+1,
  IF(C62 = Income_Max_Row, Income_Total_Row,
   IF(C62 = Income_Total_Row, "/1",
    IF(C62 = "/1", Expenses_Header_Row,
     IF(C62 &lt; Expenses_Max_Row, C62+1,
      IF(C62 = Expenses_Max_Row, Expenses_Total_Row,
       IF(C62 = Expenses_Total_Row, "/2",
        IF(C62 = "/2", Savings_Header_Row,
         IF(C62 &lt; Savings_Max_Row, C62+1,
          IF(C62 = Savings_Max_Row, Savings_Total_Row, -1)))))))))))</f>
        <v>-1</v>
      </c>
      <c r="D63" s="3">
        <f t="shared" si="26"/>
        <v>-1</v>
      </c>
      <c r="E63" s="2" cm="1">
        <f t="array" ref="E63">1*OR(Row_ID = Income_Header_Row, Row_ID = Expenses_Header_Row, Row_ID = Savings_Header_Row)</f>
        <v>0</v>
      </c>
      <c r="F63">
        <f t="shared" si="27"/>
        <v>0</v>
      </c>
      <c r="G63" cm="1">
        <f t="array" ref="G63">1*OR(Row_ID = Income_Total_Row, Row_ID = Expenses_Total_Row, Row_ID = Savings_Total_Row)</f>
        <v>0</v>
      </c>
      <c r="H63" s="3">
        <f t="shared" si="28"/>
        <v>1</v>
      </c>
      <c r="I63" s="2" t="str" cm="1">
        <f t="array" ref="I63">IFERROR(INDEX('Budget Planning'!$C:$C, Header_Row_ID),"")</f>
        <v/>
      </c>
      <c r="J63" t="str" cm="1">
        <f t="array" ref="J63">IFERROR(INDEX('Budget Planning'!$C:$C, Row_ID),"")</f>
        <v/>
      </c>
      <c r="K63" s="62" t="str" cm="1">
        <f t="array" ref="K63">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63" s="62" t="str" cm="1">
        <f t="array" ref="L63">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63" s="62" t="str" cm="1">
        <f t="array" ref="M63">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63" s="63" t="str" cm="1">
        <f t="array" ref="N63">IF(OR(IS_Header,IS_Empty),"",
  INDEX('Budget Planning'!$E:$EM,Row_ID,
   MATCH(IF(Selected_Period = "Total Year", Selected_Year, DATE(Selected_Year,Selected_Period,1)),'Budget Planning'!$E$9:$CI$9,0) ))</f>
        <v/>
      </c>
      <c r="O63" s="2" t="str" cm="1">
        <f t="array" ref="O63">IF(IS_Cat,
  IF(Header_Row_ID = Income_Header_Row, MATCH(Income_Min_Row, $C:$C, 0),
   IF(Header_Row_ID = Expenses_Header_Row, MATCH(Expenses_Min_Row, $C:$C, 0),
    IF(Header_Row_ID = Savings_Header_Row, MATCH(Savings_Min_Row, $C:$C, 0),""))), "")</f>
        <v/>
      </c>
      <c r="P63" s="3" t="str" cm="1">
        <f t="array" ref="P63">IF(IS_Cat,
  IF(Header_Row_ID = Income_Header_Row, MATCH(Income_Max_Row, $C:$C, 0),
   IF(Header_Row_ID = Expenses_Header_Row, MATCH(Expenses_Max_Row, $C:$C, 0),
    IF(Header_Row_ID = Savings_Header_Row, MATCH(Savings_Max_Row, $C:$C, 0),""))), "")</f>
        <v/>
      </c>
      <c r="Q63" s="2" t="str">
        <f t="shared" si="29"/>
        <v/>
      </c>
      <c r="R63" t="str">
        <f t="shared" ca="1" si="30"/>
        <v/>
      </c>
      <c r="S63" t="str">
        <f t="shared" si="31"/>
        <v/>
      </c>
      <c r="T63" t="str">
        <f t="shared" ca="1" si="32"/>
        <v/>
      </c>
      <c r="U63" t="str">
        <f t="shared" si="33"/>
        <v/>
      </c>
      <c r="V63" t="str">
        <f t="shared" ca="1" si="34"/>
        <v/>
      </c>
      <c r="W63" t="str">
        <f t="shared" si="35"/>
        <v/>
      </c>
      <c r="X63" s="3" t="str">
        <f t="shared" ca="1" si="36"/>
        <v/>
      </c>
      <c r="Y63" t="str">
        <f t="shared" si="37"/>
        <v/>
      </c>
      <c r="Z63" t="str">
        <f t="shared" si="38"/>
        <v/>
      </c>
      <c r="AA63" t="str">
        <f t="shared" ca="1" si="39"/>
        <v/>
      </c>
      <c r="AB63" t="str">
        <f t="shared" si="40"/>
        <v/>
      </c>
      <c r="AC63" s="3" t="str">
        <f t="shared" ca="1" si="41"/>
        <v/>
      </c>
      <c r="AD63" s="65">
        <f t="shared" si="42"/>
        <v>-1</v>
      </c>
      <c r="AE63" s="66" t="str">
        <f t="shared" si="43"/>
        <v/>
      </c>
      <c r="AF63" s="69" t="str">
        <f t="shared" si="44"/>
        <v/>
      </c>
      <c r="AG63" s="69" t="str">
        <f t="shared" si="45"/>
        <v/>
      </c>
      <c r="AH63" s="69" t="str">
        <f t="shared" si="46"/>
        <v/>
      </c>
      <c r="AI63" s="69" t="str">
        <f t="shared" si="47"/>
        <v/>
      </c>
      <c r="AJ63" s="68" t="str">
        <f t="shared" si="48"/>
        <v/>
      </c>
      <c r="AK63" s="69" t="str">
        <f t="shared" si="49"/>
        <v/>
      </c>
      <c r="AL63" s="69" t="str">
        <f t="shared" si="50"/>
        <v/>
      </c>
    </row>
    <row r="64" spans="3:38" x14ac:dyDescent="0.25">
      <c r="C64" s="2" cm="1">
        <f t="array" ref="C64">IF(C63 = -1, -1,
 IF(C63 &lt; Income_Max_Row, C63+1,
  IF(C63 = Income_Max_Row, Income_Total_Row,
   IF(C63 = Income_Total_Row, "/1",
    IF(C63 = "/1", Expenses_Header_Row,
     IF(C63 &lt; Expenses_Max_Row, C63+1,
      IF(C63 = Expenses_Max_Row, Expenses_Total_Row,
       IF(C63 = Expenses_Total_Row, "/2",
        IF(C63 = "/2", Savings_Header_Row,
         IF(C63 &lt; Savings_Max_Row, C63+1,
          IF(C63 = Savings_Max_Row, Savings_Total_Row, -1)))))))))))</f>
        <v>-1</v>
      </c>
      <c r="D64" s="3">
        <f t="shared" si="26"/>
        <v>-1</v>
      </c>
      <c r="E64" s="2" cm="1">
        <f t="array" ref="E64">1*OR(Row_ID = Income_Header_Row, Row_ID = Expenses_Header_Row, Row_ID = Savings_Header_Row)</f>
        <v>0</v>
      </c>
      <c r="F64">
        <f t="shared" si="27"/>
        <v>0</v>
      </c>
      <c r="G64" cm="1">
        <f t="array" ref="G64">1*OR(Row_ID = Income_Total_Row, Row_ID = Expenses_Total_Row, Row_ID = Savings_Total_Row)</f>
        <v>0</v>
      </c>
      <c r="H64" s="3">
        <f t="shared" si="28"/>
        <v>1</v>
      </c>
      <c r="I64" s="2" t="str" cm="1">
        <f t="array" ref="I64">IFERROR(INDEX('Budget Planning'!$C:$C, Header_Row_ID),"")</f>
        <v/>
      </c>
      <c r="J64" t="str" cm="1">
        <f t="array" ref="J64">IFERROR(INDEX('Budget Planning'!$C:$C, Row_ID),"")</f>
        <v/>
      </c>
      <c r="K64" s="62" t="str" cm="1">
        <f t="array" ref="K64">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64" s="62" t="str" cm="1">
        <f t="array" ref="L64">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64" s="62" t="str" cm="1">
        <f t="array" ref="M64">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64" s="63" t="str" cm="1">
        <f t="array" ref="N64">IF(OR(IS_Header,IS_Empty),"",
  INDEX('Budget Planning'!$E:$EM,Row_ID,
   MATCH(IF(Selected_Period = "Total Year", Selected_Year, DATE(Selected_Year,Selected_Period,1)),'Budget Planning'!$E$9:$CI$9,0) ))</f>
        <v/>
      </c>
      <c r="O64" s="2" t="str" cm="1">
        <f t="array" ref="O64">IF(IS_Cat,
  IF(Header_Row_ID = Income_Header_Row, MATCH(Income_Min_Row, $C:$C, 0),
   IF(Header_Row_ID = Expenses_Header_Row, MATCH(Expenses_Min_Row, $C:$C, 0),
    IF(Header_Row_ID = Savings_Header_Row, MATCH(Savings_Min_Row, $C:$C, 0),""))), "")</f>
        <v/>
      </c>
      <c r="P64" s="3" t="str" cm="1">
        <f t="array" ref="P64">IF(IS_Cat,
  IF(Header_Row_ID = Income_Header_Row, MATCH(Income_Max_Row, $C:$C, 0),
   IF(Header_Row_ID = Expenses_Header_Row, MATCH(Expenses_Max_Row, $C:$C, 0),
    IF(Header_Row_ID = Savings_Header_Row, MATCH(Savings_Max_Row, $C:$C, 0),""))), "")</f>
        <v/>
      </c>
      <c r="Q64" s="2" t="str">
        <f t="shared" si="29"/>
        <v/>
      </c>
      <c r="R64" t="str">
        <f t="shared" ca="1" si="30"/>
        <v/>
      </c>
      <c r="S64" t="str">
        <f t="shared" si="31"/>
        <v/>
      </c>
      <c r="T64" t="str">
        <f t="shared" ca="1" si="32"/>
        <v/>
      </c>
      <c r="U64" t="str">
        <f t="shared" si="33"/>
        <v/>
      </c>
      <c r="V64" t="str">
        <f t="shared" ca="1" si="34"/>
        <v/>
      </c>
      <c r="W64" t="str">
        <f t="shared" si="35"/>
        <v/>
      </c>
      <c r="X64" s="3" t="str">
        <f t="shared" ca="1" si="36"/>
        <v/>
      </c>
      <c r="Y64" t="str">
        <f t="shared" si="37"/>
        <v/>
      </c>
      <c r="Z64" t="str">
        <f t="shared" si="38"/>
        <v/>
      </c>
      <c r="AA64" t="str">
        <f t="shared" ca="1" si="39"/>
        <v/>
      </c>
      <c r="AB64" t="str">
        <f t="shared" si="40"/>
        <v/>
      </c>
      <c r="AC64" s="3" t="str">
        <f t="shared" ca="1" si="41"/>
        <v/>
      </c>
      <c r="AD64" s="65">
        <f t="shared" si="42"/>
        <v>-1</v>
      </c>
      <c r="AE64" s="66" t="str">
        <f t="shared" si="43"/>
        <v/>
      </c>
      <c r="AF64" s="69" t="str">
        <f t="shared" si="44"/>
        <v/>
      </c>
      <c r="AG64" s="69" t="str">
        <f t="shared" si="45"/>
        <v/>
      </c>
      <c r="AH64" s="69" t="str">
        <f t="shared" si="46"/>
        <v/>
      </c>
      <c r="AI64" s="69" t="str">
        <f t="shared" si="47"/>
        <v/>
      </c>
      <c r="AJ64" s="68" t="str">
        <f t="shared" si="48"/>
        <v/>
      </c>
      <c r="AK64" s="69" t="str">
        <f t="shared" si="49"/>
        <v/>
      </c>
      <c r="AL64" s="69" t="str">
        <f t="shared" si="50"/>
        <v/>
      </c>
    </row>
    <row r="65" spans="3:38" x14ac:dyDescent="0.25">
      <c r="C65" s="2" cm="1">
        <f t="array" ref="C65">IF(C64 = -1, -1,
 IF(C64 &lt; Income_Max_Row, C64+1,
  IF(C64 = Income_Max_Row, Income_Total_Row,
   IF(C64 = Income_Total_Row, "/1",
    IF(C64 = "/1", Expenses_Header_Row,
     IF(C64 &lt; Expenses_Max_Row, C64+1,
      IF(C64 = Expenses_Max_Row, Expenses_Total_Row,
       IF(C64 = Expenses_Total_Row, "/2",
        IF(C64 = "/2", Savings_Header_Row,
         IF(C64 &lt; Savings_Max_Row, C64+1,
          IF(C64 = Savings_Max_Row, Savings_Total_Row, -1)))))))))))</f>
        <v>-1</v>
      </c>
      <c r="D65" s="3">
        <f t="shared" si="26"/>
        <v>-1</v>
      </c>
      <c r="E65" s="2" cm="1">
        <f t="array" ref="E65">1*OR(Row_ID = Income_Header_Row, Row_ID = Expenses_Header_Row, Row_ID = Savings_Header_Row)</f>
        <v>0</v>
      </c>
      <c r="F65">
        <f t="shared" si="27"/>
        <v>0</v>
      </c>
      <c r="G65" cm="1">
        <f t="array" ref="G65">1*OR(Row_ID = Income_Total_Row, Row_ID = Expenses_Total_Row, Row_ID = Savings_Total_Row)</f>
        <v>0</v>
      </c>
      <c r="H65" s="3">
        <f t="shared" si="28"/>
        <v>1</v>
      </c>
      <c r="I65" s="2" t="str" cm="1">
        <f t="array" ref="I65">IFERROR(INDEX('Budget Planning'!$C:$C, Header_Row_ID),"")</f>
        <v/>
      </c>
      <c r="J65" t="str" cm="1">
        <f t="array" ref="J65">IFERROR(INDEX('Budget Planning'!$C:$C, Row_ID),"")</f>
        <v/>
      </c>
      <c r="K65" s="62" t="str" cm="1">
        <f t="array" ref="K65">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65" s="62" t="str" cm="1">
        <f t="array" ref="L65">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65" s="62" t="str" cm="1">
        <f t="array" ref="M65">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65" s="63" t="str" cm="1">
        <f t="array" ref="N65">IF(OR(IS_Header,IS_Empty),"",
  INDEX('Budget Planning'!$E:$EM,Row_ID,
   MATCH(IF(Selected_Period = "Total Year", Selected_Year, DATE(Selected_Year,Selected_Period,1)),'Budget Planning'!$E$9:$CI$9,0) ))</f>
        <v/>
      </c>
      <c r="O65" s="2" t="str" cm="1">
        <f t="array" ref="O65">IF(IS_Cat,
  IF(Header_Row_ID = Income_Header_Row, MATCH(Income_Min_Row, $C:$C, 0),
   IF(Header_Row_ID = Expenses_Header_Row, MATCH(Expenses_Min_Row, $C:$C, 0),
    IF(Header_Row_ID = Savings_Header_Row, MATCH(Savings_Min_Row, $C:$C, 0),""))), "")</f>
        <v/>
      </c>
      <c r="P65" s="3" t="str" cm="1">
        <f t="array" ref="P65">IF(IS_Cat,
  IF(Header_Row_ID = Income_Header_Row, MATCH(Income_Max_Row, $C:$C, 0),
   IF(Header_Row_ID = Expenses_Header_Row, MATCH(Expenses_Max_Row, $C:$C, 0),
    IF(Header_Row_ID = Savings_Header_Row, MATCH(Savings_Max_Row, $C:$C, 0),""))), "")</f>
        <v/>
      </c>
      <c r="Q65" s="2" t="str">
        <f t="shared" si="29"/>
        <v/>
      </c>
      <c r="R65" t="str">
        <f t="shared" ca="1" si="30"/>
        <v/>
      </c>
      <c r="S65" t="str">
        <f t="shared" si="31"/>
        <v/>
      </c>
      <c r="T65" t="str">
        <f t="shared" ca="1" si="32"/>
        <v/>
      </c>
      <c r="U65" t="str">
        <f t="shared" si="33"/>
        <v/>
      </c>
      <c r="V65" t="str">
        <f t="shared" ca="1" si="34"/>
        <v/>
      </c>
      <c r="W65" t="str">
        <f t="shared" si="35"/>
        <v/>
      </c>
      <c r="X65" s="3" t="str">
        <f t="shared" ca="1" si="36"/>
        <v/>
      </c>
      <c r="Y65" t="str">
        <f t="shared" si="37"/>
        <v/>
      </c>
      <c r="Z65" t="str">
        <f t="shared" si="38"/>
        <v/>
      </c>
      <c r="AA65" t="str">
        <f t="shared" ca="1" si="39"/>
        <v/>
      </c>
      <c r="AB65" t="str">
        <f t="shared" si="40"/>
        <v/>
      </c>
      <c r="AC65" s="3" t="str">
        <f t="shared" ca="1" si="41"/>
        <v/>
      </c>
      <c r="AD65" s="65">
        <f t="shared" si="42"/>
        <v>-1</v>
      </c>
      <c r="AE65" s="66" t="str">
        <f t="shared" si="43"/>
        <v/>
      </c>
      <c r="AF65" s="69" t="str">
        <f t="shared" si="44"/>
        <v/>
      </c>
      <c r="AG65" s="69" t="str">
        <f t="shared" si="45"/>
        <v/>
      </c>
      <c r="AH65" s="69" t="str">
        <f t="shared" si="46"/>
        <v/>
      </c>
      <c r="AI65" s="69" t="str">
        <f t="shared" si="47"/>
        <v/>
      </c>
      <c r="AJ65" s="68" t="str">
        <f t="shared" si="48"/>
        <v/>
      </c>
      <c r="AK65" s="69" t="str">
        <f t="shared" si="49"/>
        <v/>
      </c>
      <c r="AL65" s="69" t="str">
        <f t="shared" si="50"/>
        <v/>
      </c>
    </row>
    <row r="66" spans="3:38" x14ac:dyDescent="0.25">
      <c r="C66" s="2" cm="1">
        <f t="array" ref="C66">IF(C65 = -1, -1,
 IF(C65 &lt; Income_Max_Row, C65+1,
  IF(C65 = Income_Max_Row, Income_Total_Row,
   IF(C65 = Income_Total_Row, "/1",
    IF(C65 = "/1", Expenses_Header_Row,
     IF(C65 &lt; Expenses_Max_Row, C65+1,
      IF(C65 = Expenses_Max_Row, Expenses_Total_Row,
       IF(C65 = Expenses_Total_Row, "/2",
        IF(C65 = "/2", Savings_Header_Row,
         IF(C65 &lt; Savings_Max_Row, C65+1,
          IF(C65 = Savings_Max_Row, Savings_Total_Row, -1)))))))))))</f>
        <v>-1</v>
      </c>
      <c r="D66" s="3">
        <f t="shared" si="26"/>
        <v>-1</v>
      </c>
      <c r="E66" s="2" cm="1">
        <f t="array" ref="E66">1*OR(Row_ID = Income_Header_Row, Row_ID = Expenses_Header_Row, Row_ID = Savings_Header_Row)</f>
        <v>0</v>
      </c>
      <c r="F66">
        <f t="shared" si="27"/>
        <v>0</v>
      </c>
      <c r="G66" cm="1">
        <f t="array" ref="G66">1*OR(Row_ID = Income_Total_Row, Row_ID = Expenses_Total_Row, Row_ID = Savings_Total_Row)</f>
        <v>0</v>
      </c>
      <c r="H66" s="3">
        <f t="shared" si="28"/>
        <v>1</v>
      </c>
      <c r="I66" s="2" t="str" cm="1">
        <f t="array" ref="I66">IFERROR(INDEX('Budget Planning'!$C:$C, Header_Row_ID),"")</f>
        <v/>
      </c>
      <c r="J66" t="str" cm="1">
        <f t="array" ref="J66">IFERROR(INDEX('Budget Planning'!$C:$C, Row_ID),"")</f>
        <v/>
      </c>
      <c r="K66" s="62" t="str" cm="1">
        <f t="array" ref="K66">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66" s="62" t="str" cm="1">
        <f t="array" ref="L66">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66" s="62" t="str" cm="1">
        <f t="array" ref="M66">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66" s="63" t="str" cm="1">
        <f t="array" ref="N66">IF(OR(IS_Header,IS_Empty),"",
  INDEX('Budget Planning'!$E:$EM,Row_ID,
   MATCH(IF(Selected_Period = "Total Year", Selected_Year, DATE(Selected_Year,Selected_Period,1)),'Budget Planning'!$E$9:$CI$9,0) ))</f>
        <v/>
      </c>
      <c r="O66" s="2" t="str" cm="1">
        <f t="array" ref="O66">IF(IS_Cat,
  IF(Header_Row_ID = Income_Header_Row, MATCH(Income_Min_Row, $C:$C, 0),
   IF(Header_Row_ID = Expenses_Header_Row, MATCH(Expenses_Min_Row, $C:$C, 0),
    IF(Header_Row_ID = Savings_Header_Row, MATCH(Savings_Min_Row, $C:$C, 0),""))), "")</f>
        <v/>
      </c>
      <c r="P66" s="3" t="str" cm="1">
        <f t="array" ref="P66">IF(IS_Cat,
  IF(Header_Row_ID = Income_Header_Row, MATCH(Income_Max_Row, $C:$C, 0),
   IF(Header_Row_ID = Expenses_Header_Row, MATCH(Expenses_Max_Row, $C:$C, 0),
    IF(Header_Row_ID = Savings_Header_Row, MATCH(Savings_Max_Row, $C:$C, 0),""))), "")</f>
        <v/>
      </c>
      <c r="Q66" s="2" t="str">
        <f t="shared" si="29"/>
        <v/>
      </c>
      <c r="R66" t="str">
        <f t="shared" ca="1" si="30"/>
        <v/>
      </c>
      <c r="S66" t="str">
        <f t="shared" si="31"/>
        <v/>
      </c>
      <c r="T66" t="str">
        <f t="shared" ca="1" si="32"/>
        <v/>
      </c>
      <c r="U66" t="str">
        <f t="shared" si="33"/>
        <v/>
      </c>
      <c r="V66" t="str">
        <f t="shared" ca="1" si="34"/>
        <v/>
      </c>
      <c r="W66" t="str">
        <f t="shared" si="35"/>
        <v/>
      </c>
      <c r="X66" s="3" t="str">
        <f t="shared" ca="1" si="36"/>
        <v/>
      </c>
      <c r="Y66" t="str">
        <f t="shared" si="37"/>
        <v/>
      </c>
      <c r="Z66" t="str">
        <f t="shared" si="38"/>
        <v/>
      </c>
      <c r="AA66" t="str">
        <f t="shared" ca="1" si="39"/>
        <v/>
      </c>
      <c r="AB66" t="str">
        <f t="shared" si="40"/>
        <v/>
      </c>
      <c r="AC66" s="3" t="str">
        <f t="shared" ca="1" si="41"/>
        <v/>
      </c>
      <c r="AD66" s="65">
        <f t="shared" si="42"/>
        <v>-1</v>
      </c>
      <c r="AE66" s="66" t="str">
        <f t="shared" si="43"/>
        <v/>
      </c>
      <c r="AF66" s="69" t="str">
        <f t="shared" si="44"/>
        <v/>
      </c>
      <c r="AG66" s="69" t="str">
        <f t="shared" si="45"/>
        <v/>
      </c>
      <c r="AH66" s="69" t="str">
        <f t="shared" si="46"/>
        <v/>
      </c>
      <c r="AI66" s="69" t="str">
        <f t="shared" si="47"/>
        <v/>
      </c>
      <c r="AJ66" s="68" t="str">
        <f t="shared" si="48"/>
        <v/>
      </c>
      <c r="AK66" s="69" t="str">
        <f t="shared" si="49"/>
        <v/>
      </c>
      <c r="AL66" s="69" t="str">
        <f t="shared" si="50"/>
        <v/>
      </c>
    </row>
    <row r="67" spans="3:38" x14ac:dyDescent="0.25">
      <c r="C67" s="2" cm="1">
        <f t="array" ref="C67">IF(C66 = -1, -1,
 IF(C66 &lt; Income_Max_Row, C66+1,
  IF(C66 = Income_Max_Row, Income_Total_Row,
   IF(C66 = Income_Total_Row, "/1",
    IF(C66 = "/1", Expenses_Header_Row,
     IF(C66 &lt; Expenses_Max_Row, C66+1,
      IF(C66 = Expenses_Max_Row, Expenses_Total_Row,
       IF(C66 = Expenses_Total_Row, "/2",
        IF(C66 = "/2", Savings_Header_Row,
         IF(C66 &lt; Savings_Max_Row, C66+1,
          IF(C66 = Savings_Max_Row, Savings_Total_Row, -1)))))))))))</f>
        <v>-1</v>
      </c>
      <c r="D67" s="3">
        <f t="shared" si="26"/>
        <v>-1</v>
      </c>
      <c r="E67" s="2" cm="1">
        <f t="array" ref="E67">1*OR(Row_ID = Income_Header_Row, Row_ID = Expenses_Header_Row, Row_ID = Savings_Header_Row)</f>
        <v>0</v>
      </c>
      <c r="F67">
        <f t="shared" si="27"/>
        <v>0</v>
      </c>
      <c r="G67" cm="1">
        <f t="array" ref="G67">1*OR(Row_ID = Income_Total_Row, Row_ID = Expenses_Total_Row, Row_ID = Savings_Total_Row)</f>
        <v>0</v>
      </c>
      <c r="H67" s="3">
        <f t="shared" si="28"/>
        <v>1</v>
      </c>
      <c r="I67" s="2" t="str" cm="1">
        <f t="array" ref="I67">IFERROR(INDEX('Budget Planning'!$C:$C, Header_Row_ID),"")</f>
        <v/>
      </c>
      <c r="J67" t="str" cm="1">
        <f t="array" ref="J67">IFERROR(INDEX('Budget Planning'!$C:$C, Row_ID),"")</f>
        <v/>
      </c>
      <c r="K67" s="62" t="str" cm="1">
        <f t="array" ref="K67">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67" s="62" t="str" cm="1">
        <f t="array" ref="L67">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67" s="62" t="str" cm="1">
        <f t="array" ref="M67">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67" s="63" t="str" cm="1">
        <f t="array" ref="N67">IF(OR(IS_Header,IS_Empty),"",
  INDEX('Budget Planning'!$E:$EM,Row_ID,
   MATCH(IF(Selected_Period = "Total Year", Selected_Year, DATE(Selected_Year,Selected_Period,1)),'Budget Planning'!$E$9:$CI$9,0) ))</f>
        <v/>
      </c>
      <c r="O67" s="2" t="str" cm="1">
        <f t="array" ref="O67">IF(IS_Cat,
  IF(Header_Row_ID = Income_Header_Row, MATCH(Income_Min_Row, $C:$C, 0),
   IF(Header_Row_ID = Expenses_Header_Row, MATCH(Expenses_Min_Row, $C:$C, 0),
    IF(Header_Row_ID = Savings_Header_Row, MATCH(Savings_Min_Row, $C:$C, 0),""))), "")</f>
        <v/>
      </c>
      <c r="P67" s="3" t="str" cm="1">
        <f t="array" ref="P67">IF(IS_Cat,
  IF(Header_Row_ID = Income_Header_Row, MATCH(Income_Max_Row, $C:$C, 0),
   IF(Header_Row_ID = Expenses_Header_Row, MATCH(Expenses_Max_Row, $C:$C, 0),
    IF(Header_Row_ID = Savings_Header_Row, MATCH(Savings_Max_Row, $C:$C, 0),""))), "")</f>
        <v/>
      </c>
      <c r="Q67" s="2" t="str">
        <f t="shared" si="29"/>
        <v/>
      </c>
      <c r="R67" t="str">
        <f t="shared" ca="1" si="30"/>
        <v/>
      </c>
      <c r="S67" t="str">
        <f t="shared" si="31"/>
        <v/>
      </c>
      <c r="T67" t="str">
        <f t="shared" ca="1" si="32"/>
        <v/>
      </c>
      <c r="U67" t="str">
        <f t="shared" si="33"/>
        <v/>
      </c>
      <c r="V67" t="str">
        <f t="shared" ca="1" si="34"/>
        <v/>
      </c>
      <c r="W67" t="str">
        <f t="shared" si="35"/>
        <v/>
      </c>
      <c r="X67" s="3" t="str">
        <f t="shared" ca="1" si="36"/>
        <v/>
      </c>
      <c r="Y67" t="str">
        <f t="shared" si="37"/>
        <v/>
      </c>
      <c r="Z67" t="str">
        <f t="shared" si="38"/>
        <v/>
      </c>
      <c r="AA67" t="str">
        <f t="shared" ca="1" si="39"/>
        <v/>
      </c>
      <c r="AB67" t="str">
        <f t="shared" si="40"/>
        <v/>
      </c>
      <c r="AC67" s="3" t="str">
        <f t="shared" ca="1" si="41"/>
        <v/>
      </c>
      <c r="AD67" s="65">
        <f t="shared" si="42"/>
        <v>-1</v>
      </c>
      <c r="AE67" s="66" t="str">
        <f t="shared" si="43"/>
        <v/>
      </c>
      <c r="AF67" s="69" t="str">
        <f t="shared" si="44"/>
        <v/>
      </c>
      <c r="AG67" s="69" t="str">
        <f t="shared" si="45"/>
        <v/>
      </c>
      <c r="AH67" s="69" t="str">
        <f t="shared" si="46"/>
        <v/>
      </c>
      <c r="AI67" s="69" t="str">
        <f t="shared" si="47"/>
        <v/>
      </c>
      <c r="AJ67" s="68" t="str">
        <f t="shared" si="48"/>
        <v/>
      </c>
      <c r="AK67" s="69" t="str">
        <f t="shared" si="49"/>
        <v/>
      </c>
      <c r="AL67" s="69" t="str">
        <f t="shared" si="50"/>
        <v/>
      </c>
    </row>
    <row r="68" spans="3:38" x14ac:dyDescent="0.25">
      <c r="C68" s="2" cm="1">
        <f t="array" ref="C68">IF(C67 = -1, -1,
 IF(C67 &lt; Income_Max_Row, C67+1,
  IF(C67 = Income_Max_Row, Income_Total_Row,
   IF(C67 = Income_Total_Row, "/1",
    IF(C67 = "/1", Expenses_Header_Row,
     IF(C67 &lt; Expenses_Max_Row, C67+1,
      IF(C67 = Expenses_Max_Row, Expenses_Total_Row,
       IF(C67 = Expenses_Total_Row, "/2",
        IF(C67 = "/2", Savings_Header_Row,
         IF(C67 &lt; Savings_Max_Row, C67+1,
          IF(C67 = Savings_Max_Row, Savings_Total_Row, -1)))))))))))</f>
        <v>-1</v>
      </c>
      <c r="D68" s="3">
        <f t="shared" si="26"/>
        <v>-1</v>
      </c>
      <c r="E68" s="2" cm="1">
        <f t="array" ref="E68">1*OR(Row_ID = Income_Header_Row, Row_ID = Expenses_Header_Row, Row_ID = Savings_Header_Row)</f>
        <v>0</v>
      </c>
      <c r="F68">
        <f t="shared" si="27"/>
        <v>0</v>
      </c>
      <c r="G68" cm="1">
        <f t="array" ref="G68">1*OR(Row_ID = Income_Total_Row, Row_ID = Expenses_Total_Row, Row_ID = Savings_Total_Row)</f>
        <v>0</v>
      </c>
      <c r="H68" s="3">
        <f t="shared" si="28"/>
        <v>1</v>
      </c>
      <c r="I68" s="2" t="str" cm="1">
        <f t="array" ref="I68">IFERROR(INDEX('Budget Planning'!$C:$C, Header_Row_ID),"")</f>
        <v/>
      </c>
      <c r="J68" t="str" cm="1">
        <f t="array" ref="J68">IFERROR(INDEX('Budget Planning'!$C:$C, Row_ID),"")</f>
        <v/>
      </c>
      <c r="K68" s="62" t="str" cm="1">
        <f t="array" ref="K68">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68" s="62" t="str" cm="1">
        <f t="array" ref="L68">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68" s="62" t="str" cm="1">
        <f t="array" ref="M68">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68" s="63" t="str" cm="1">
        <f t="array" ref="N68">IF(OR(IS_Header,IS_Empty),"",
  INDEX('Budget Planning'!$E:$EM,Row_ID,
   MATCH(IF(Selected_Period = "Total Year", Selected_Year, DATE(Selected_Year,Selected_Period,1)),'Budget Planning'!$E$9:$CI$9,0) ))</f>
        <v/>
      </c>
      <c r="O68" s="2" t="str" cm="1">
        <f t="array" ref="O68">IF(IS_Cat,
  IF(Header_Row_ID = Income_Header_Row, MATCH(Income_Min_Row, $C:$C, 0),
   IF(Header_Row_ID = Expenses_Header_Row, MATCH(Expenses_Min_Row, $C:$C, 0),
    IF(Header_Row_ID = Savings_Header_Row, MATCH(Savings_Min_Row, $C:$C, 0),""))), "")</f>
        <v/>
      </c>
      <c r="P68" s="3" t="str" cm="1">
        <f t="array" ref="P68">IF(IS_Cat,
  IF(Header_Row_ID = Income_Header_Row, MATCH(Income_Max_Row, $C:$C, 0),
   IF(Header_Row_ID = Expenses_Header_Row, MATCH(Expenses_Max_Row, $C:$C, 0),
    IF(Header_Row_ID = Savings_Header_Row, MATCH(Savings_Max_Row, $C:$C, 0),""))), "")</f>
        <v/>
      </c>
      <c r="Q68" s="2" t="str">
        <f t="shared" si="29"/>
        <v/>
      </c>
      <c r="R68" t="str">
        <f t="shared" ca="1" si="30"/>
        <v/>
      </c>
      <c r="S68" t="str">
        <f t="shared" si="31"/>
        <v/>
      </c>
      <c r="T68" t="str">
        <f t="shared" ca="1" si="32"/>
        <v/>
      </c>
      <c r="U68" t="str">
        <f t="shared" si="33"/>
        <v/>
      </c>
      <c r="V68" t="str">
        <f t="shared" ca="1" si="34"/>
        <v/>
      </c>
      <c r="W68" t="str">
        <f t="shared" si="35"/>
        <v/>
      </c>
      <c r="X68" s="3" t="str">
        <f t="shared" ca="1" si="36"/>
        <v/>
      </c>
      <c r="Y68" t="str">
        <f t="shared" si="37"/>
        <v/>
      </c>
      <c r="Z68" t="str">
        <f t="shared" si="38"/>
        <v/>
      </c>
      <c r="AA68" t="str">
        <f t="shared" ca="1" si="39"/>
        <v/>
      </c>
      <c r="AB68" t="str">
        <f t="shared" si="40"/>
        <v/>
      </c>
      <c r="AC68" s="3" t="str">
        <f t="shared" ca="1" si="41"/>
        <v/>
      </c>
      <c r="AD68" s="65">
        <f t="shared" si="42"/>
        <v>-1</v>
      </c>
      <c r="AE68" s="66" t="str">
        <f t="shared" si="43"/>
        <v/>
      </c>
      <c r="AF68" s="69" t="str">
        <f t="shared" si="44"/>
        <v/>
      </c>
      <c r="AG68" s="69" t="str">
        <f t="shared" si="45"/>
        <v/>
      </c>
      <c r="AH68" s="69" t="str">
        <f t="shared" si="46"/>
        <v/>
      </c>
      <c r="AI68" s="69" t="str">
        <f t="shared" si="47"/>
        <v/>
      </c>
      <c r="AJ68" s="68" t="str">
        <f t="shared" si="48"/>
        <v/>
      </c>
      <c r="AK68" s="69" t="str">
        <f t="shared" si="49"/>
        <v/>
      </c>
      <c r="AL68" s="69" t="str">
        <f t="shared" si="50"/>
        <v/>
      </c>
    </row>
    <row r="69" spans="3:38" x14ac:dyDescent="0.25">
      <c r="C69" s="2" cm="1">
        <f t="array" ref="C69">IF(C68 = -1, -1,
 IF(C68 &lt; Income_Max_Row, C68+1,
  IF(C68 = Income_Max_Row, Income_Total_Row,
   IF(C68 = Income_Total_Row, "/1",
    IF(C68 = "/1", Expenses_Header_Row,
     IF(C68 &lt; Expenses_Max_Row, C68+1,
      IF(C68 = Expenses_Max_Row, Expenses_Total_Row,
       IF(C68 = Expenses_Total_Row, "/2",
        IF(C68 = "/2", Savings_Header_Row,
         IF(C68 &lt; Savings_Max_Row, C68+1,
          IF(C68 = Savings_Max_Row, Savings_Total_Row, -1)))))))))))</f>
        <v>-1</v>
      </c>
      <c r="D69" s="3">
        <f t="shared" si="26"/>
        <v>-1</v>
      </c>
      <c r="E69" s="2" cm="1">
        <f t="array" ref="E69">1*OR(Row_ID = Income_Header_Row, Row_ID = Expenses_Header_Row, Row_ID = Savings_Header_Row)</f>
        <v>0</v>
      </c>
      <c r="F69">
        <f t="shared" si="27"/>
        <v>0</v>
      </c>
      <c r="G69" cm="1">
        <f t="array" ref="G69">1*OR(Row_ID = Income_Total_Row, Row_ID = Expenses_Total_Row, Row_ID = Savings_Total_Row)</f>
        <v>0</v>
      </c>
      <c r="H69" s="3">
        <f t="shared" si="28"/>
        <v>1</v>
      </c>
      <c r="I69" s="2" t="str" cm="1">
        <f t="array" ref="I69">IFERROR(INDEX('Budget Planning'!$C:$C, Header_Row_ID),"")</f>
        <v/>
      </c>
      <c r="J69" t="str" cm="1">
        <f t="array" ref="J69">IFERROR(INDEX('Budget Planning'!$C:$C, Row_ID),"")</f>
        <v/>
      </c>
      <c r="K69" s="62" t="str" cm="1">
        <f t="array" ref="K69">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69" s="62" t="str" cm="1">
        <f t="array" ref="L69">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69" s="62" t="str" cm="1">
        <f t="array" ref="M69">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69" s="63" t="str" cm="1">
        <f t="array" ref="N69">IF(OR(IS_Header,IS_Empty),"",
  INDEX('Budget Planning'!$E:$EM,Row_ID,
   MATCH(IF(Selected_Period = "Total Year", Selected_Year, DATE(Selected_Year,Selected_Period,1)),'Budget Planning'!$E$9:$CI$9,0) ))</f>
        <v/>
      </c>
      <c r="O69" s="2" t="str" cm="1">
        <f t="array" ref="O69">IF(IS_Cat,
  IF(Header_Row_ID = Income_Header_Row, MATCH(Income_Min_Row, $C:$C, 0),
   IF(Header_Row_ID = Expenses_Header_Row, MATCH(Expenses_Min_Row, $C:$C, 0),
    IF(Header_Row_ID = Savings_Header_Row, MATCH(Savings_Min_Row, $C:$C, 0),""))), "")</f>
        <v/>
      </c>
      <c r="P69" s="3" t="str" cm="1">
        <f t="array" ref="P69">IF(IS_Cat,
  IF(Header_Row_ID = Income_Header_Row, MATCH(Income_Max_Row, $C:$C, 0),
   IF(Header_Row_ID = Expenses_Header_Row, MATCH(Expenses_Max_Row, $C:$C, 0),
    IF(Header_Row_ID = Savings_Header_Row, MATCH(Savings_Max_Row, $C:$C, 0),""))), "")</f>
        <v/>
      </c>
      <c r="Q69" s="2" t="str">
        <f t="shared" si="29"/>
        <v/>
      </c>
      <c r="R69" t="str">
        <f t="shared" ca="1" si="30"/>
        <v/>
      </c>
      <c r="S69" t="str">
        <f t="shared" si="31"/>
        <v/>
      </c>
      <c r="T69" t="str">
        <f t="shared" ca="1" si="32"/>
        <v/>
      </c>
      <c r="U69" t="str">
        <f t="shared" si="33"/>
        <v/>
      </c>
      <c r="V69" t="str">
        <f t="shared" ca="1" si="34"/>
        <v/>
      </c>
      <c r="W69" t="str">
        <f t="shared" si="35"/>
        <v/>
      </c>
      <c r="X69" s="3" t="str">
        <f t="shared" ca="1" si="36"/>
        <v/>
      </c>
      <c r="Y69" t="str">
        <f t="shared" si="37"/>
        <v/>
      </c>
      <c r="Z69" t="str">
        <f t="shared" si="38"/>
        <v/>
      </c>
      <c r="AA69" t="str">
        <f t="shared" ca="1" si="39"/>
        <v/>
      </c>
      <c r="AB69" t="str">
        <f t="shared" si="40"/>
        <v/>
      </c>
      <c r="AC69" s="3" t="str">
        <f t="shared" ca="1" si="41"/>
        <v/>
      </c>
      <c r="AD69" s="65">
        <f t="shared" si="42"/>
        <v>-1</v>
      </c>
      <c r="AE69" s="66" t="str">
        <f t="shared" si="43"/>
        <v/>
      </c>
      <c r="AF69" s="69" t="str">
        <f t="shared" si="44"/>
        <v/>
      </c>
      <c r="AG69" s="69" t="str">
        <f t="shared" si="45"/>
        <v/>
      </c>
      <c r="AH69" s="69" t="str">
        <f t="shared" si="46"/>
        <v/>
      </c>
      <c r="AI69" s="69" t="str">
        <f t="shared" si="47"/>
        <v/>
      </c>
      <c r="AJ69" s="68" t="str">
        <f t="shared" si="48"/>
        <v/>
      </c>
      <c r="AK69" s="69" t="str">
        <f t="shared" si="49"/>
        <v/>
      </c>
      <c r="AL69" s="69" t="str">
        <f t="shared" si="50"/>
        <v/>
      </c>
    </row>
    <row r="70" spans="3:38" x14ac:dyDescent="0.25">
      <c r="C70" s="2" cm="1">
        <f t="array" ref="C70">IF(C69 = -1, -1,
 IF(C69 &lt; Income_Max_Row, C69+1,
  IF(C69 = Income_Max_Row, Income_Total_Row,
   IF(C69 = Income_Total_Row, "/1",
    IF(C69 = "/1", Expenses_Header_Row,
     IF(C69 &lt; Expenses_Max_Row, C69+1,
      IF(C69 = Expenses_Max_Row, Expenses_Total_Row,
       IF(C69 = Expenses_Total_Row, "/2",
        IF(C69 = "/2", Savings_Header_Row,
         IF(C69 &lt; Savings_Max_Row, C69+1,
          IF(C69 = Savings_Max_Row, Savings_Total_Row, -1)))))))))))</f>
        <v>-1</v>
      </c>
      <c r="D70" s="3">
        <f t="shared" si="26"/>
        <v>-1</v>
      </c>
      <c r="E70" s="2" cm="1">
        <f t="array" ref="E70">1*OR(Row_ID = Income_Header_Row, Row_ID = Expenses_Header_Row, Row_ID = Savings_Header_Row)</f>
        <v>0</v>
      </c>
      <c r="F70">
        <f t="shared" si="27"/>
        <v>0</v>
      </c>
      <c r="G70" cm="1">
        <f t="array" ref="G70">1*OR(Row_ID = Income_Total_Row, Row_ID = Expenses_Total_Row, Row_ID = Savings_Total_Row)</f>
        <v>0</v>
      </c>
      <c r="H70" s="3">
        <f t="shared" si="28"/>
        <v>1</v>
      </c>
      <c r="I70" s="2" t="str" cm="1">
        <f t="array" ref="I70">IFERROR(INDEX('Budget Planning'!$C:$C, Header_Row_ID),"")</f>
        <v/>
      </c>
      <c r="J70" t="str" cm="1">
        <f t="array" ref="J70">IFERROR(INDEX('Budget Planning'!$C:$C, Row_ID),"")</f>
        <v/>
      </c>
      <c r="K70" s="62" t="str" cm="1">
        <f t="array" ref="K70">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70" s="62" t="str" cm="1">
        <f t="array" ref="L70">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70" s="62" t="str" cm="1">
        <f t="array" ref="M70">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70" s="63" t="str" cm="1">
        <f t="array" ref="N70">IF(OR(IS_Header,IS_Empty),"",
  INDEX('Budget Planning'!$E:$EM,Row_ID,
   MATCH(IF(Selected_Period = "Total Year", Selected_Year, DATE(Selected_Year,Selected_Period,1)),'Budget Planning'!$E$9:$CI$9,0) ))</f>
        <v/>
      </c>
      <c r="O70" s="2" t="str" cm="1">
        <f t="array" ref="O70">IF(IS_Cat,
  IF(Header_Row_ID = Income_Header_Row, MATCH(Income_Min_Row, $C:$C, 0),
   IF(Header_Row_ID = Expenses_Header_Row, MATCH(Expenses_Min_Row, $C:$C, 0),
    IF(Header_Row_ID = Savings_Header_Row, MATCH(Savings_Min_Row, $C:$C, 0),""))), "")</f>
        <v/>
      </c>
      <c r="P70" s="3" t="str" cm="1">
        <f t="array" ref="P70">IF(IS_Cat,
  IF(Header_Row_ID = Income_Header_Row, MATCH(Income_Max_Row, $C:$C, 0),
   IF(Header_Row_ID = Expenses_Header_Row, MATCH(Expenses_Max_Row, $C:$C, 0),
    IF(Header_Row_ID = Savings_Header_Row, MATCH(Savings_Max_Row, $C:$C, 0),""))), "")</f>
        <v/>
      </c>
      <c r="Q70" s="2" t="str">
        <f t="shared" si="29"/>
        <v/>
      </c>
      <c r="R70" t="str">
        <f t="shared" ca="1" si="30"/>
        <v/>
      </c>
      <c r="S70" t="str">
        <f t="shared" si="31"/>
        <v/>
      </c>
      <c r="T70" t="str">
        <f t="shared" ca="1" si="32"/>
        <v/>
      </c>
      <c r="U70" t="str">
        <f t="shared" si="33"/>
        <v/>
      </c>
      <c r="V70" t="str">
        <f t="shared" ca="1" si="34"/>
        <v/>
      </c>
      <c r="W70" t="str">
        <f t="shared" si="35"/>
        <v/>
      </c>
      <c r="X70" s="3" t="str">
        <f t="shared" ca="1" si="36"/>
        <v/>
      </c>
      <c r="Y70" t="str">
        <f t="shared" si="37"/>
        <v/>
      </c>
      <c r="Z70" t="str">
        <f t="shared" si="38"/>
        <v/>
      </c>
      <c r="AA70" t="str">
        <f t="shared" ca="1" si="39"/>
        <v/>
      </c>
      <c r="AB70" t="str">
        <f t="shared" si="40"/>
        <v/>
      </c>
      <c r="AC70" s="3" t="str">
        <f t="shared" ca="1" si="41"/>
        <v/>
      </c>
      <c r="AD70" s="65">
        <f t="shared" si="42"/>
        <v>-1</v>
      </c>
      <c r="AE70" s="66" t="str">
        <f t="shared" si="43"/>
        <v/>
      </c>
      <c r="AF70" s="69" t="str">
        <f t="shared" si="44"/>
        <v/>
      </c>
      <c r="AG70" s="69" t="str">
        <f t="shared" si="45"/>
        <v/>
      </c>
      <c r="AH70" s="69" t="str">
        <f t="shared" si="46"/>
        <v/>
      </c>
      <c r="AI70" s="69" t="str">
        <f t="shared" si="47"/>
        <v/>
      </c>
      <c r="AJ70" s="68" t="str">
        <f t="shared" si="48"/>
        <v/>
      </c>
      <c r="AK70" s="69" t="str">
        <f t="shared" si="49"/>
        <v/>
      </c>
      <c r="AL70" s="69" t="str">
        <f t="shared" si="50"/>
        <v/>
      </c>
    </row>
    <row r="71" spans="3:38" x14ac:dyDescent="0.25">
      <c r="C71" s="2" cm="1">
        <f t="array" ref="C71">IF(C70 = -1, -1,
 IF(C70 &lt; Income_Max_Row, C70+1,
  IF(C70 = Income_Max_Row, Income_Total_Row,
   IF(C70 = Income_Total_Row, "/1",
    IF(C70 = "/1", Expenses_Header_Row,
     IF(C70 &lt; Expenses_Max_Row, C70+1,
      IF(C70 = Expenses_Max_Row, Expenses_Total_Row,
       IF(C70 = Expenses_Total_Row, "/2",
        IF(C70 = "/2", Savings_Header_Row,
         IF(C70 &lt; Savings_Max_Row, C70+1,
          IF(C70 = Savings_Max_Row, Savings_Total_Row, -1)))))))))))</f>
        <v>-1</v>
      </c>
      <c r="D71" s="3">
        <f t="shared" si="26"/>
        <v>-1</v>
      </c>
      <c r="E71" s="2" cm="1">
        <f t="array" ref="E71">1*OR(Row_ID = Income_Header_Row, Row_ID = Expenses_Header_Row, Row_ID = Savings_Header_Row)</f>
        <v>0</v>
      </c>
      <c r="F71">
        <f t="shared" si="27"/>
        <v>0</v>
      </c>
      <c r="G71" cm="1">
        <f t="array" ref="G71">1*OR(Row_ID = Income_Total_Row, Row_ID = Expenses_Total_Row, Row_ID = Savings_Total_Row)</f>
        <v>0</v>
      </c>
      <c r="H71" s="3">
        <f t="shared" si="28"/>
        <v>1</v>
      </c>
      <c r="I71" s="2" t="str" cm="1">
        <f t="array" ref="I71">IFERROR(INDEX('Budget Planning'!$C:$C, Header_Row_ID),"")</f>
        <v/>
      </c>
      <c r="J71" t="str" cm="1">
        <f t="array" ref="J71">IFERROR(INDEX('Budget Planning'!$C:$C, Row_ID),"")</f>
        <v/>
      </c>
      <c r="K71" s="62" t="str" cm="1">
        <f t="array" ref="K7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71" s="62" t="str" cm="1">
        <f t="array" ref="L7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71" s="62" t="str" cm="1">
        <f t="array" ref="M7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71" s="63" t="str" cm="1">
        <f t="array" ref="N71">IF(OR(IS_Header,IS_Empty),"",
  INDEX('Budget Planning'!$E:$EM,Row_ID,
   MATCH(IF(Selected_Period = "Total Year", Selected_Year, DATE(Selected_Year,Selected_Period,1)),'Budget Planning'!$E$9:$CI$9,0) ))</f>
        <v/>
      </c>
      <c r="O71" s="2" t="str" cm="1">
        <f t="array" ref="O71">IF(IS_Cat,
  IF(Header_Row_ID = Income_Header_Row, MATCH(Income_Min_Row, $C:$C, 0),
   IF(Header_Row_ID = Expenses_Header_Row, MATCH(Expenses_Min_Row, $C:$C, 0),
    IF(Header_Row_ID = Savings_Header_Row, MATCH(Savings_Min_Row, $C:$C, 0),""))), "")</f>
        <v/>
      </c>
      <c r="P71" s="3" t="str" cm="1">
        <f t="array" ref="P71">IF(IS_Cat,
  IF(Header_Row_ID = Income_Header_Row, MATCH(Income_Max_Row, $C:$C, 0),
   IF(Header_Row_ID = Expenses_Header_Row, MATCH(Expenses_Max_Row, $C:$C, 0),
    IF(Header_Row_ID = Savings_Header_Row, MATCH(Savings_Max_Row, $C:$C, 0),""))), "")</f>
        <v/>
      </c>
      <c r="Q71" s="2" t="str">
        <f t="shared" si="29"/>
        <v/>
      </c>
      <c r="R71" t="str">
        <f t="shared" ca="1" si="30"/>
        <v/>
      </c>
      <c r="S71" t="str">
        <f t="shared" si="31"/>
        <v/>
      </c>
      <c r="T71" t="str">
        <f t="shared" ca="1" si="32"/>
        <v/>
      </c>
      <c r="U71" t="str">
        <f t="shared" si="33"/>
        <v/>
      </c>
      <c r="V71" t="str">
        <f t="shared" ca="1" si="34"/>
        <v/>
      </c>
      <c r="W71" t="str">
        <f t="shared" si="35"/>
        <v/>
      </c>
      <c r="X71" s="3" t="str">
        <f t="shared" ca="1" si="36"/>
        <v/>
      </c>
      <c r="Y71" t="str">
        <f t="shared" si="37"/>
        <v/>
      </c>
      <c r="Z71" t="str">
        <f t="shared" si="38"/>
        <v/>
      </c>
      <c r="AA71" t="str">
        <f t="shared" ca="1" si="39"/>
        <v/>
      </c>
      <c r="AB71" t="str">
        <f t="shared" si="40"/>
        <v/>
      </c>
      <c r="AC71" s="3" t="str">
        <f t="shared" ca="1" si="41"/>
        <v/>
      </c>
      <c r="AD71" s="65">
        <f t="shared" si="42"/>
        <v>-1</v>
      </c>
      <c r="AE71" s="66" t="str">
        <f t="shared" si="43"/>
        <v/>
      </c>
      <c r="AF71" s="69" t="str">
        <f t="shared" si="44"/>
        <v/>
      </c>
      <c r="AG71" s="69" t="str">
        <f t="shared" si="45"/>
        <v/>
      </c>
      <c r="AH71" s="69" t="str">
        <f t="shared" si="46"/>
        <v/>
      </c>
      <c r="AI71" s="69" t="str">
        <f t="shared" si="47"/>
        <v/>
      </c>
      <c r="AJ71" s="68" t="str">
        <f t="shared" si="48"/>
        <v/>
      </c>
      <c r="AK71" s="69" t="str">
        <f t="shared" si="49"/>
        <v/>
      </c>
      <c r="AL71" s="69" t="str">
        <f t="shared" si="50"/>
        <v/>
      </c>
    </row>
    <row r="72" spans="3:38" x14ac:dyDescent="0.25">
      <c r="C72" s="2" cm="1">
        <f t="array" ref="C72">IF(C71 = -1, -1,
 IF(C71 &lt; Income_Max_Row, C71+1,
  IF(C71 = Income_Max_Row, Income_Total_Row,
   IF(C71 = Income_Total_Row, "/1",
    IF(C71 = "/1", Expenses_Header_Row,
     IF(C71 &lt; Expenses_Max_Row, C71+1,
      IF(C71 = Expenses_Max_Row, Expenses_Total_Row,
       IF(C71 = Expenses_Total_Row, "/2",
        IF(C71 = "/2", Savings_Header_Row,
         IF(C71 &lt; Savings_Max_Row, C71+1,
          IF(C71 = Savings_Max_Row, Savings_Total_Row, -1)))))))))))</f>
        <v>-1</v>
      </c>
      <c r="D72" s="3">
        <f t="shared" si="26"/>
        <v>-1</v>
      </c>
      <c r="E72" s="2" cm="1">
        <f t="array" ref="E72">1*OR(Row_ID = Income_Header_Row, Row_ID = Expenses_Header_Row, Row_ID = Savings_Header_Row)</f>
        <v>0</v>
      </c>
      <c r="F72">
        <f t="shared" si="27"/>
        <v>0</v>
      </c>
      <c r="G72" cm="1">
        <f t="array" ref="G72">1*OR(Row_ID = Income_Total_Row, Row_ID = Expenses_Total_Row, Row_ID = Savings_Total_Row)</f>
        <v>0</v>
      </c>
      <c r="H72" s="3">
        <f t="shared" si="28"/>
        <v>1</v>
      </c>
      <c r="I72" s="2" t="str" cm="1">
        <f t="array" ref="I72">IFERROR(INDEX('Budget Planning'!$C:$C, Header_Row_ID),"")</f>
        <v/>
      </c>
      <c r="J72" t="str" cm="1">
        <f t="array" ref="J72">IFERROR(INDEX('Budget Planning'!$C:$C, Row_ID),"")</f>
        <v/>
      </c>
      <c r="K72" s="62" t="str" cm="1">
        <f t="array" ref="K72">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72" s="62" t="str" cm="1">
        <f t="array" ref="L72">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72" s="62" t="str" cm="1">
        <f t="array" ref="M72">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72" s="63" t="str" cm="1">
        <f t="array" ref="N72">IF(OR(IS_Header,IS_Empty),"",
  INDEX('Budget Planning'!$E:$EM,Row_ID,
   MATCH(IF(Selected_Period = "Total Year", Selected_Year, DATE(Selected_Year,Selected_Period,1)),'Budget Planning'!$E$9:$CI$9,0) ))</f>
        <v/>
      </c>
      <c r="O72" s="2" t="str" cm="1">
        <f t="array" ref="O72">IF(IS_Cat,
  IF(Header_Row_ID = Income_Header_Row, MATCH(Income_Min_Row, $C:$C, 0),
   IF(Header_Row_ID = Expenses_Header_Row, MATCH(Expenses_Min_Row, $C:$C, 0),
    IF(Header_Row_ID = Savings_Header_Row, MATCH(Savings_Min_Row, $C:$C, 0),""))), "")</f>
        <v/>
      </c>
      <c r="P72" s="3" t="str" cm="1">
        <f t="array" ref="P72">IF(IS_Cat,
  IF(Header_Row_ID = Income_Header_Row, MATCH(Income_Max_Row, $C:$C, 0),
   IF(Header_Row_ID = Expenses_Header_Row, MATCH(Expenses_Max_Row, $C:$C, 0),
    IF(Header_Row_ID = Savings_Header_Row, MATCH(Savings_Max_Row, $C:$C, 0),""))), "")</f>
        <v/>
      </c>
      <c r="Q72" s="2" t="str">
        <f t="shared" si="29"/>
        <v/>
      </c>
      <c r="R72" t="str">
        <f t="shared" ca="1" si="30"/>
        <v/>
      </c>
      <c r="S72" t="str">
        <f t="shared" si="31"/>
        <v/>
      </c>
      <c r="T72" t="str">
        <f t="shared" ca="1" si="32"/>
        <v/>
      </c>
      <c r="U72" t="str">
        <f t="shared" si="33"/>
        <v/>
      </c>
      <c r="V72" t="str">
        <f t="shared" ca="1" si="34"/>
        <v/>
      </c>
      <c r="W72" t="str">
        <f t="shared" si="35"/>
        <v/>
      </c>
      <c r="X72" s="3" t="str">
        <f t="shared" ca="1" si="36"/>
        <v/>
      </c>
      <c r="Y72" t="str">
        <f t="shared" si="37"/>
        <v/>
      </c>
      <c r="Z72" t="str">
        <f t="shared" si="38"/>
        <v/>
      </c>
      <c r="AA72" t="str">
        <f t="shared" ca="1" si="39"/>
        <v/>
      </c>
      <c r="AB72" t="str">
        <f t="shared" si="40"/>
        <v/>
      </c>
      <c r="AC72" s="3" t="str">
        <f t="shared" ca="1" si="41"/>
        <v/>
      </c>
      <c r="AD72" s="65">
        <f t="shared" si="42"/>
        <v>-1</v>
      </c>
      <c r="AE72" s="66" t="str">
        <f t="shared" si="43"/>
        <v/>
      </c>
      <c r="AF72" s="69" t="str">
        <f t="shared" si="44"/>
        <v/>
      </c>
      <c r="AG72" s="69" t="str">
        <f t="shared" si="45"/>
        <v/>
      </c>
      <c r="AH72" s="69" t="str">
        <f t="shared" si="46"/>
        <v/>
      </c>
      <c r="AI72" s="69" t="str">
        <f t="shared" si="47"/>
        <v/>
      </c>
      <c r="AJ72" s="68" t="str">
        <f t="shared" si="48"/>
        <v/>
      </c>
      <c r="AK72" s="69" t="str">
        <f t="shared" si="49"/>
        <v/>
      </c>
      <c r="AL72" s="69" t="str">
        <f t="shared" si="50"/>
        <v/>
      </c>
    </row>
    <row r="73" spans="3:38" x14ac:dyDescent="0.25">
      <c r="C73" s="2" cm="1">
        <f t="array" ref="C73">IF(C72 = -1, -1,
 IF(C72 &lt; Income_Max_Row, C72+1,
  IF(C72 = Income_Max_Row, Income_Total_Row,
   IF(C72 = Income_Total_Row, "/1",
    IF(C72 = "/1", Expenses_Header_Row,
     IF(C72 &lt; Expenses_Max_Row, C72+1,
      IF(C72 = Expenses_Max_Row, Expenses_Total_Row,
       IF(C72 = Expenses_Total_Row, "/2",
        IF(C72 = "/2", Savings_Header_Row,
         IF(C72 &lt; Savings_Max_Row, C72+1,
          IF(C72 = Savings_Max_Row, Savings_Total_Row, -1)))))))))))</f>
        <v>-1</v>
      </c>
      <c r="D73" s="3">
        <f t="shared" si="26"/>
        <v>-1</v>
      </c>
      <c r="E73" s="2" cm="1">
        <f t="array" ref="E73">1*OR(Row_ID = Income_Header_Row, Row_ID = Expenses_Header_Row, Row_ID = Savings_Header_Row)</f>
        <v>0</v>
      </c>
      <c r="F73">
        <f t="shared" si="27"/>
        <v>0</v>
      </c>
      <c r="G73" cm="1">
        <f t="array" ref="G73">1*OR(Row_ID = Income_Total_Row, Row_ID = Expenses_Total_Row, Row_ID = Savings_Total_Row)</f>
        <v>0</v>
      </c>
      <c r="H73" s="3">
        <f t="shared" si="28"/>
        <v>1</v>
      </c>
      <c r="I73" s="2" t="str" cm="1">
        <f t="array" ref="I73">IFERROR(INDEX('Budget Planning'!$C:$C, Header_Row_ID),"")</f>
        <v/>
      </c>
      <c r="J73" t="str" cm="1">
        <f t="array" ref="J73">IFERROR(INDEX('Budget Planning'!$C:$C, Row_ID),"")</f>
        <v/>
      </c>
      <c r="K73" s="62" t="str" cm="1">
        <f t="array" ref="K73">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73" s="62" t="str" cm="1">
        <f t="array" ref="L73">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73" s="62" t="str" cm="1">
        <f t="array" ref="M73">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73" s="63" t="str" cm="1">
        <f t="array" ref="N73">IF(OR(IS_Header,IS_Empty),"",
  INDEX('Budget Planning'!$E:$EM,Row_ID,
   MATCH(IF(Selected_Period = "Total Year", Selected_Year, DATE(Selected_Year,Selected_Period,1)),'Budget Planning'!$E$9:$CI$9,0) ))</f>
        <v/>
      </c>
      <c r="O73" s="2" t="str" cm="1">
        <f t="array" ref="O73">IF(IS_Cat,
  IF(Header_Row_ID = Income_Header_Row, MATCH(Income_Min_Row, $C:$C, 0),
   IF(Header_Row_ID = Expenses_Header_Row, MATCH(Expenses_Min_Row, $C:$C, 0),
    IF(Header_Row_ID = Savings_Header_Row, MATCH(Savings_Min_Row, $C:$C, 0),""))), "")</f>
        <v/>
      </c>
      <c r="P73" s="3" t="str" cm="1">
        <f t="array" ref="P73">IF(IS_Cat,
  IF(Header_Row_ID = Income_Header_Row, MATCH(Income_Max_Row, $C:$C, 0),
   IF(Header_Row_ID = Expenses_Header_Row, MATCH(Expenses_Max_Row, $C:$C, 0),
    IF(Header_Row_ID = Savings_Header_Row, MATCH(Savings_Max_Row, $C:$C, 0),""))), "")</f>
        <v/>
      </c>
      <c r="Q73" s="2" t="str">
        <f t="shared" si="29"/>
        <v/>
      </c>
      <c r="R73" t="str">
        <f t="shared" ca="1" si="30"/>
        <v/>
      </c>
      <c r="S73" t="str">
        <f t="shared" si="31"/>
        <v/>
      </c>
      <c r="T73" t="str">
        <f t="shared" ca="1" si="32"/>
        <v/>
      </c>
      <c r="U73" t="str">
        <f t="shared" si="33"/>
        <v/>
      </c>
      <c r="V73" t="str">
        <f t="shared" ca="1" si="34"/>
        <v/>
      </c>
      <c r="W73" t="str">
        <f t="shared" si="35"/>
        <v/>
      </c>
      <c r="X73" s="3" t="str">
        <f t="shared" ca="1" si="36"/>
        <v/>
      </c>
      <c r="Y73" t="str">
        <f t="shared" si="37"/>
        <v/>
      </c>
      <c r="Z73" t="str">
        <f t="shared" si="38"/>
        <v/>
      </c>
      <c r="AA73" t="str">
        <f t="shared" ca="1" si="39"/>
        <v/>
      </c>
      <c r="AB73" t="str">
        <f t="shared" si="40"/>
        <v/>
      </c>
      <c r="AC73" s="3" t="str">
        <f t="shared" ca="1" si="41"/>
        <v/>
      </c>
      <c r="AD73" s="65">
        <f t="shared" si="42"/>
        <v>-1</v>
      </c>
      <c r="AE73" s="66" t="str">
        <f t="shared" si="43"/>
        <v/>
      </c>
      <c r="AF73" s="69" t="str">
        <f t="shared" si="44"/>
        <v/>
      </c>
      <c r="AG73" s="69" t="str">
        <f t="shared" si="45"/>
        <v/>
      </c>
      <c r="AH73" s="69" t="str">
        <f t="shared" si="46"/>
        <v/>
      </c>
      <c r="AI73" s="69" t="str">
        <f t="shared" si="47"/>
        <v/>
      </c>
      <c r="AJ73" s="68" t="str">
        <f t="shared" si="48"/>
        <v/>
      </c>
      <c r="AK73" s="69" t="str">
        <f t="shared" si="49"/>
        <v/>
      </c>
      <c r="AL73" s="69" t="str">
        <f t="shared" si="50"/>
        <v/>
      </c>
    </row>
    <row r="74" spans="3:38" x14ac:dyDescent="0.25">
      <c r="C74" s="2" cm="1">
        <f t="array" ref="C74">IF(C73 = -1, -1,
 IF(C73 &lt; Income_Max_Row, C73+1,
  IF(C73 = Income_Max_Row, Income_Total_Row,
   IF(C73 = Income_Total_Row, "/1",
    IF(C73 = "/1", Expenses_Header_Row,
     IF(C73 &lt; Expenses_Max_Row, C73+1,
      IF(C73 = Expenses_Max_Row, Expenses_Total_Row,
       IF(C73 = Expenses_Total_Row, "/2",
        IF(C73 = "/2", Savings_Header_Row,
         IF(C73 &lt; Savings_Max_Row, C73+1,
          IF(C73 = Savings_Max_Row, Savings_Total_Row, -1)))))))))))</f>
        <v>-1</v>
      </c>
      <c r="D74" s="3">
        <f t="shared" si="26"/>
        <v>-1</v>
      </c>
      <c r="E74" s="2" cm="1">
        <f t="array" ref="E74">1*OR(Row_ID = Income_Header_Row, Row_ID = Expenses_Header_Row, Row_ID = Savings_Header_Row)</f>
        <v>0</v>
      </c>
      <c r="F74">
        <f t="shared" si="27"/>
        <v>0</v>
      </c>
      <c r="G74" cm="1">
        <f t="array" ref="G74">1*OR(Row_ID = Income_Total_Row, Row_ID = Expenses_Total_Row, Row_ID = Savings_Total_Row)</f>
        <v>0</v>
      </c>
      <c r="H74" s="3">
        <f t="shared" si="28"/>
        <v>1</v>
      </c>
      <c r="I74" s="2" t="str" cm="1">
        <f t="array" ref="I74">IFERROR(INDEX('Budget Planning'!$C:$C, Header_Row_ID),"")</f>
        <v/>
      </c>
      <c r="J74" t="str" cm="1">
        <f t="array" ref="J74">IFERROR(INDEX('Budget Planning'!$C:$C, Row_ID),"")</f>
        <v/>
      </c>
      <c r="K74" s="62" t="str" cm="1">
        <f t="array" ref="K74">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74" s="62" t="str" cm="1">
        <f t="array" ref="L74">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74" s="62" t="str" cm="1">
        <f t="array" ref="M74">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74" s="63" t="str" cm="1">
        <f t="array" ref="N74">IF(OR(IS_Header,IS_Empty),"",
  INDEX('Budget Planning'!$E:$EM,Row_ID,
   MATCH(IF(Selected_Period = "Total Year", Selected_Year, DATE(Selected_Year,Selected_Period,1)),'Budget Planning'!$E$9:$CI$9,0) ))</f>
        <v/>
      </c>
      <c r="O74" s="2" t="str" cm="1">
        <f t="array" ref="O74">IF(IS_Cat,
  IF(Header_Row_ID = Income_Header_Row, MATCH(Income_Min_Row, $C:$C, 0),
   IF(Header_Row_ID = Expenses_Header_Row, MATCH(Expenses_Min_Row, $C:$C, 0),
    IF(Header_Row_ID = Savings_Header_Row, MATCH(Savings_Min_Row, $C:$C, 0),""))), "")</f>
        <v/>
      </c>
      <c r="P74" s="3" t="str" cm="1">
        <f t="array" ref="P74">IF(IS_Cat,
  IF(Header_Row_ID = Income_Header_Row, MATCH(Income_Max_Row, $C:$C, 0),
   IF(Header_Row_ID = Expenses_Header_Row, MATCH(Expenses_Max_Row, $C:$C, 0),
    IF(Header_Row_ID = Savings_Header_Row, MATCH(Savings_Max_Row, $C:$C, 0),""))), "")</f>
        <v/>
      </c>
      <c r="Q74" s="2" t="str">
        <f t="shared" si="29"/>
        <v/>
      </c>
      <c r="R74" t="str">
        <f t="shared" ca="1" si="30"/>
        <v/>
      </c>
      <c r="S74" t="str">
        <f t="shared" si="31"/>
        <v/>
      </c>
      <c r="T74" t="str">
        <f t="shared" ca="1" si="32"/>
        <v/>
      </c>
      <c r="U74" t="str">
        <f t="shared" si="33"/>
        <v/>
      </c>
      <c r="V74" t="str">
        <f t="shared" ca="1" si="34"/>
        <v/>
      </c>
      <c r="W74" t="str">
        <f t="shared" si="35"/>
        <v/>
      </c>
      <c r="X74" s="3" t="str">
        <f t="shared" ca="1" si="36"/>
        <v/>
      </c>
      <c r="Y74" t="str">
        <f t="shared" si="37"/>
        <v/>
      </c>
      <c r="Z74" t="str">
        <f t="shared" si="38"/>
        <v/>
      </c>
      <c r="AA74" t="str">
        <f t="shared" ca="1" si="39"/>
        <v/>
      </c>
      <c r="AB74" t="str">
        <f t="shared" si="40"/>
        <v/>
      </c>
      <c r="AC74" s="3" t="str">
        <f t="shared" ca="1" si="41"/>
        <v/>
      </c>
      <c r="AD74" s="65">
        <f t="shared" si="42"/>
        <v>-1</v>
      </c>
      <c r="AE74" s="66" t="str">
        <f t="shared" si="43"/>
        <v/>
      </c>
      <c r="AF74" s="69" t="str">
        <f t="shared" si="44"/>
        <v/>
      </c>
      <c r="AG74" s="69" t="str">
        <f t="shared" si="45"/>
        <v/>
      </c>
      <c r="AH74" s="69" t="str">
        <f t="shared" si="46"/>
        <v/>
      </c>
      <c r="AI74" s="69" t="str">
        <f t="shared" si="47"/>
        <v/>
      </c>
      <c r="AJ74" s="68" t="str">
        <f t="shared" si="48"/>
        <v/>
      </c>
      <c r="AK74" s="69" t="str">
        <f t="shared" si="49"/>
        <v/>
      </c>
      <c r="AL74" s="69" t="str">
        <f t="shared" si="50"/>
        <v/>
      </c>
    </row>
    <row r="75" spans="3:38" x14ac:dyDescent="0.25">
      <c r="C75" s="2" cm="1">
        <f t="array" ref="C75">IF(C74 = -1, -1,
 IF(C74 &lt; Income_Max_Row, C74+1,
  IF(C74 = Income_Max_Row, Income_Total_Row,
   IF(C74 = Income_Total_Row, "/1",
    IF(C74 = "/1", Expenses_Header_Row,
     IF(C74 &lt; Expenses_Max_Row, C74+1,
      IF(C74 = Expenses_Max_Row, Expenses_Total_Row,
       IF(C74 = Expenses_Total_Row, "/2",
        IF(C74 = "/2", Savings_Header_Row,
         IF(C74 &lt; Savings_Max_Row, C74+1,
          IF(C74 = Savings_Max_Row, Savings_Total_Row, -1)))))))))))</f>
        <v>-1</v>
      </c>
      <c r="D75" s="3">
        <f t="shared" si="26"/>
        <v>-1</v>
      </c>
      <c r="E75" s="2" cm="1">
        <f t="array" ref="E75">1*OR(Row_ID = Income_Header_Row, Row_ID = Expenses_Header_Row, Row_ID = Savings_Header_Row)</f>
        <v>0</v>
      </c>
      <c r="F75">
        <f t="shared" si="27"/>
        <v>0</v>
      </c>
      <c r="G75" cm="1">
        <f t="array" ref="G75">1*OR(Row_ID = Income_Total_Row, Row_ID = Expenses_Total_Row, Row_ID = Savings_Total_Row)</f>
        <v>0</v>
      </c>
      <c r="H75" s="3">
        <f t="shared" si="28"/>
        <v>1</v>
      </c>
      <c r="I75" s="2" t="str" cm="1">
        <f t="array" ref="I75">IFERROR(INDEX('Budget Planning'!$C:$C, Header_Row_ID),"")</f>
        <v/>
      </c>
      <c r="J75" t="str" cm="1">
        <f t="array" ref="J75">IFERROR(INDEX('Budget Planning'!$C:$C, Row_ID),"")</f>
        <v/>
      </c>
      <c r="K75" s="62" t="str" cm="1">
        <f t="array" ref="K75">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75" s="62" t="str" cm="1">
        <f t="array" ref="L75">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75" s="62" t="str" cm="1">
        <f t="array" ref="M75">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75" s="63" t="str" cm="1">
        <f t="array" ref="N75">IF(OR(IS_Header,IS_Empty),"",
  INDEX('Budget Planning'!$E:$EM,Row_ID,
   MATCH(IF(Selected_Period = "Total Year", Selected_Year, DATE(Selected_Year,Selected_Period,1)),'Budget Planning'!$E$9:$CI$9,0) ))</f>
        <v/>
      </c>
      <c r="O75" s="2" t="str" cm="1">
        <f t="array" ref="O75">IF(IS_Cat,
  IF(Header_Row_ID = Income_Header_Row, MATCH(Income_Min_Row, $C:$C, 0),
   IF(Header_Row_ID = Expenses_Header_Row, MATCH(Expenses_Min_Row, $C:$C, 0),
    IF(Header_Row_ID = Savings_Header_Row, MATCH(Savings_Min_Row, $C:$C, 0),""))), "")</f>
        <v/>
      </c>
      <c r="P75" s="3" t="str" cm="1">
        <f t="array" ref="P75">IF(IS_Cat,
  IF(Header_Row_ID = Income_Header_Row, MATCH(Income_Max_Row, $C:$C, 0),
   IF(Header_Row_ID = Expenses_Header_Row, MATCH(Expenses_Max_Row, $C:$C, 0),
    IF(Header_Row_ID = Savings_Header_Row, MATCH(Savings_Max_Row, $C:$C, 0),""))), "")</f>
        <v/>
      </c>
      <c r="Q75" s="2" t="str">
        <f t="shared" si="29"/>
        <v/>
      </c>
      <c r="R75" t="str">
        <f t="shared" ca="1" si="30"/>
        <v/>
      </c>
      <c r="S75" t="str">
        <f t="shared" si="31"/>
        <v/>
      </c>
      <c r="T75" t="str">
        <f t="shared" ca="1" si="32"/>
        <v/>
      </c>
      <c r="U75" t="str">
        <f t="shared" si="33"/>
        <v/>
      </c>
      <c r="V75" t="str">
        <f t="shared" ca="1" si="34"/>
        <v/>
      </c>
      <c r="W75" t="str">
        <f t="shared" si="35"/>
        <v/>
      </c>
      <c r="X75" s="3" t="str">
        <f t="shared" ca="1" si="36"/>
        <v/>
      </c>
      <c r="Y75" t="str">
        <f t="shared" si="37"/>
        <v/>
      </c>
      <c r="Z75" t="str">
        <f t="shared" si="38"/>
        <v/>
      </c>
      <c r="AA75" t="str">
        <f t="shared" ca="1" si="39"/>
        <v/>
      </c>
      <c r="AB75" t="str">
        <f t="shared" si="40"/>
        <v/>
      </c>
      <c r="AC75" s="3" t="str">
        <f t="shared" ca="1" si="41"/>
        <v/>
      </c>
      <c r="AD75" s="65">
        <f t="shared" si="42"/>
        <v>-1</v>
      </c>
      <c r="AE75" s="66" t="str">
        <f t="shared" si="43"/>
        <v/>
      </c>
      <c r="AF75" s="69" t="str">
        <f t="shared" si="44"/>
        <v/>
      </c>
      <c r="AG75" s="69" t="str">
        <f t="shared" si="45"/>
        <v/>
      </c>
      <c r="AH75" s="69" t="str">
        <f t="shared" si="46"/>
        <v/>
      </c>
      <c r="AI75" s="69" t="str">
        <f t="shared" si="47"/>
        <v/>
      </c>
      <c r="AJ75" s="68" t="str">
        <f t="shared" si="48"/>
        <v/>
      </c>
      <c r="AK75" s="69" t="str">
        <f t="shared" si="49"/>
        <v/>
      </c>
      <c r="AL75" s="69" t="str">
        <f t="shared" si="50"/>
        <v/>
      </c>
    </row>
    <row r="76" spans="3:38" x14ac:dyDescent="0.25">
      <c r="C76" s="2" cm="1">
        <f t="array" ref="C76">IF(C75 = -1, -1,
 IF(C75 &lt; Income_Max_Row, C75+1,
  IF(C75 = Income_Max_Row, Income_Total_Row,
   IF(C75 = Income_Total_Row, "/1",
    IF(C75 = "/1", Expenses_Header_Row,
     IF(C75 &lt; Expenses_Max_Row, C75+1,
      IF(C75 = Expenses_Max_Row, Expenses_Total_Row,
       IF(C75 = Expenses_Total_Row, "/2",
        IF(C75 = "/2", Savings_Header_Row,
         IF(C75 &lt; Savings_Max_Row, C75+1,
          IF(C75 = Savings_Max_Row, Savings_Total_Row, -1)))))))))))</f>
        <v>-1</v>
      </c>
      <c r="D76" s="3">
        <f t="shared" si="26"/>
        <v>-1</v>
      </c>
      <c r="E76" s="2" cm="1">
        <f t="array" ref="E76">1*OR(Row_ID = Income_Header_Row, Row_ID = Expenses_Header_Row, Row_ID = Savings_Header_Row)</f>
        <v>0</v>
      </c>
      <c r="F76">
        <f t="shared" si="27"/>
        <v>0</v>
      </c>
      <c r="G76" cm="1">
        <f t="array" ref="G76">1*OR(Row_ID = Income_Total_Row, Row_ID = Expenses_Total_Row, Row_ID = Savings_Total_Row)</f>
        <v>0</v>
      </c>
      <c r="H76" s="3">
        <f t="shared" si="28"/>
        <v>1</v>
      </c>
      <c r="I76" s="2" t="str" cm="1">
        <f t="array" ref="I76">IFERROR(INDEX('Budget Planning'!$C:$C, Header_Row_ID),"")</f>
        <v/>
      </c>
      <c r="J76" t="str" cm="1">
        <f t="array" ref="J76">IFERROR(INDEX('Budget Planning'!$C:$C, Row_ID),"")</f>
        <v/>
      </c>
      <c r="K76" s="62" t="str" cm="1">
        <f t="array" ref="K76">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76" s="62" t="str" cm="1">
        <f t="array" ref="L76">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76" s="62" t="str" cm="1">
        <f t="array" ref="M76">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76" s="63" t="str" cm="1">
        <f t="array" ref="N76">IF(OR(IS_Header,IS_Empty),"",
  INDEX('Budget Planning'!$E:$EM,Row_ID,
   MATCH(IF(Selected_Period = "Total Year", Selected_Year, DATE(Selected_Year,Selected_Period,1)),'Budget Planning'!$E$9:$CI$9,0) ))</f>
        <v/>
      </c>
      <c r="O76" s="2" t="str" cm="1">
        <f t="array" ref="O76">IF(IS_Cat,
  IF(Header_Row_ID = Income_Header_Row, MATCH(Income_Min_Row, $C:$C, 0),
   IF(Header_Row_ID = Expenses_Header_Row, MATCH(Expenses_Min_Row, $C:$C, 0),
    IF(Header_Row_ID = Savings_Header_Row, MATCH(Savings_Min_Row, $C:$C, 0),""))), "")</f>
        <v/>
      </c>
      <c r="P76" s="3" t="str" cm="1">
        <f t="array" ref="P76">IF(IS_Cat,
  IF(Header_Row_ID = Income_Header_Row, MATCH(Income_Max_Row, $C:$C, 0),
   IF(Header_Row_ID = Expenses_Header_Row, MATCH(Expenses_Max_Row, $C:$C, 0),
    IF(Header_Row_ID = Savings_Header_Row, MATCH(Savings_Max_Row, $C:$C, 0),""))), "")</f>
        <v/>
      </c>
      <c r="Q76" s="2" t="str">
        <f t="shared" si="29"/>
        <v/>
      </c>
      <c r="R76" t="str">
        <f t="shared" ca="1" si="30"/>
        <v/>
      </c>
      <c r="S76" t="str">
        <f t="shared" si="31"/>
        <v/>
      </c>
      <c r="T76" t="str">
        <f t="shared" ca="1" si="32"/>
        <v/>
      </c>
      <c r="U76" t="str">
        <f t="shared" si="33"/>
        <v/>
      </c>
      <c r="V76" t="str">
        <f t="shared" ca="1" si="34"/>
        <v/>
      </c>
      <c r="W76" t="str">
        <f t="shared" si="35"/>
        <v/>
      </c>
      <c r="X76" s="3" t="str">
        <f t="shared" ca="1" si="36"/>
        <v/>
      </c>
      <c r="Y76" t="str">
        <f t="shared" si="37"/>
        <v/>
      </c>
      <c r="Z76" t="str">
        <f t="shared" si="38"/>
        <v/>
      </c>
      <c r="AA76" t="str">
        <f t="shared" ca="1" si="39"/>
        <v/>
      </c>
      <c r="AB76" t="str">
        <f t="shared" si="40"/>
        <v/>
      </c>
      <c r="AC76" s="3" t="str">
        <f t="shared" ca="1" si="41"/>
        <v/>
      </c>
      <c r="AD76" s="65">
        <f t="shared" si="42"/>
        <v>-1</v>
      </c>
      <c r="AE76" s="66" t="str">
        <f t="shared" si="43"/>
        <v/>
      </c>
      <c r="AF76" s="69" t="str">
        <f t="shared" si="44"/>
        <v/>
      </c>
      <c r="AG76" s="69" t="str">
        <f t="shared" si="45"/>
        <v/>
      </c>
      <c r="AH76" s="69" t="str">
        <f t="shared" si="46"/>
        <v/>
      </c>
      <c r="AI76" s="69" t="str">
        <f t="shared" si="47"/>
        <v/>
      </c>
      <c r="AJ76" s="68" t="str">
        <f t="shared" si="48"/>
        <v/>
      </c>
      <c r="AK76" s="69" t="str">
        <f t="shared" si="49"/>
        <v/>
      </c>
      <c r="AL76" s="69" t="str">
        <f t="shared" si="50"/>
        <v/>
      </c>
    </row>
    <row r="77" spans="3:38" x14ac:dyDescent="0.25">
      <c r="C77" s="2" cm="1">
        <f t="array" ref="C77">IF(C76 = -1, -1,
 IF(C76 &lt; Income_Max_Row, C76+1,
  IF(C76 = Income_Max_Row, Income_Total_Row,
   IF(C76 = Income_Total_Row, "/1",
    IF(C76 = "/1", Expenses_Header_Row,
     IF(C76 &lt; Expenses_Max_Row, C76+1,
      IF(C76 = Expenses_Max_Row, Expenses_Total_Row,
       IF(C76 = Expenses_Total_Row, "/2",
        IF(C76 = "/2", Savings_Header_Row,
         IF(C76 &lt; Savings_Max_Row, C76+1,
          IF(C76 = Savings_Max_Row, Savings_Total_Row, -1)))))))))))</f>
        <v>-1</v>
      </c>
      <c r="D77" s="3">
        <f t="shared" ref="D77:D85" si="51">IF(IS_Header, Row_ID,
  IF(NOT(IS_Empty),D76,-1))</f>
        <v>-1</v>
      </c>
      <c r="E77" s="2" cm="1">
        <f t="array" ref="E77">1*OR(Row_ID = Income_Header_Row, Row_ID = Expenses_Header_Row, Row_ID = Savings_Header_Row)</f>
        <v>0</v>
      </c>
      <c r="F77">
        <f t="shared" ref="F77:F85" si="52">1*NOT(OR(IS_Header, IS_Total, IS_Empty))</f>
        <v>0</v>
      </c>
      <c r="G77" cm="1">
        <f t="array" ref="G77">1*OR(Row_ID = Income_Total_Row, Row_ID = Expenses_Total_Row, Row_ID = Savings_Total_Row)</f>
        <v>0</v>
      </c>
      <c r="H77" s="3">
        <f t="shared" ref="H77:H85" si="53">1*OR(Row_ID = "/1", Row_ID = "/2", Row_ID = - 1)</f>
        <v>1</v>
      </c>
      <c r="I77" s="2" t="str" cm="1">
        <f t="array" ref="I77">IFERROR(INDEX('Budget Planning'!$C:$C, Header_Row_ID),"")</f>
        <v/>
      </c>
      <c r="J77" t="str" cm="1">
        <f t="array" ref="J77">IFERROR(INDEX('Budget Planning'!$C:$C, Row_ID),"")</f>
        <v/>
      </c>
      <c r="K77" s="62" t="str" cm="1">
        <f t="array" ref="K77">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77" s="62" t="str" cm="1">
        <f t="array" ref="L77">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77" s="62" t="str" cm="1">
        <f t="array" ref="M77">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77" s="63" t="str" cm="1">
        <f t="array" ref="N77">IF(OR(IS_Header,IS_Empty),"",
  INDEX('Budget Planning'!$E:$EM,Row_ID,
   MATCH(IF(Selected_Period = "Total Year", Selected_Year, DATE(Selected_Year,Selected_Period,1)),'Budget Planning'!$E$9:$CI$9,0) ))</f>
        <v/>
      </c>
      <c r="O77" s="2" t="str" cm="1">
        <f t="array" ref="O77">IF(IS_Cat,
  IF(Header_Row_ID = Income_Header_Row, MATCH(Income_Min_Row, $C:$C, 0),
   IF(Header_Row_ID = Expenses_Header_Row, MATCH(Expenses_Min_Row, $C:$C, 0),
    IF(Header_Row_ID = Savings_Header_Row, MATCH(Savings_Min_Row, $C:$C, 0),""))), "")</f>
        <v/>
      </c>
      <c r="P77" s="3" t="str" cm="1">
        <f t="array" ref="P77">IF(IS_Cat,
  IF(Header_Row_ID = Income_Header_Row, MATCH(Income_Max_Row, $C:$C, 0),
   IF(Header_Row_ID = Expenses_Header_Row, MATCH(Expenses_Max_Row, $C:$C, 0),
    IF(Header_Row_ID = Savings_Header_Row, MATCH(Savings_Max_Row, $C:$C, 0),""))), "")</f>
        <v/>
      </c>
      <c r="Q77" s="2" t="str">
        <f t="shared" ref="Q77:Q85" si="54">IF(IS_Cat, ADDRESS(Sort_Min_Row, COLUMN(Tracked_USD)) &amp; ":" &amp; ADDRESS(Sort_Max_Row, COLUMN(Tracked_USD)), "")</f>
        <v/>
      </c>
      <c r="R77" t="str">
        <f t="shared" ref="R77:R85" ca="1" si="55">IF(IS_Cat, RANK(Tracked_USD, INDIRECT(Tracked_USD_Range), 0), "")</f>
        <v/>
      </c>
      <c r="S77" t="str">
        <f t="shared" ref="S77:S85" si="56">IF(IS_Cat, ADDRESS(Sort_Min_Row, COLUMN(Tracked_LBP)) &amp; ":" &amp; ADDRESS(Sort_Max_Row, COLUMN(Tracked_LBP)), "")</f>
        <v/>
      </c>
      <c r="T77" t="str">
        <f t="shared" ref="T77:T85" ca="1" si="57">IF(IS_Cat, RANK(Tracked_LBP, INDIRECT(Tracked_LBP_Range), 0), "")</f>
        <v/>
      </c>
      <c r="U77" t="str">
        <f t="shared" ref="U77:U85" si="58">IF(IS_Cat, ADDRESS(Sort_Min_Row, COLUMN(Tracked_€)) &amp; ":" &amp; ADDRESS(Sort_Max_Row, COLUMN(Tracked_€)), "")</f>
        <v/>
      </c>
      <c r="V77" t="str">
        <f t="shared" ref="V77:V85" ca="1" si="59">IF(IS_Cat, RANK(Tracked_€, INDIRECT(Tracked_€_Range), 0), "")</f>
        <v/>
      </c>
      <c r="W77" t="str">
        <f t="shared" ref="W77:W85" si="60">IF(IS_Cat, ADDRESS(Sort_Min_Row, COLUMN(Budget)) &amp; ":" &amp; ADDRESS(Sort_Max_Row, COLUMN(Budget)), "")</f>
        <v/>
      </c>
      <c r="X77" s="3" t="str">
        <f t="shared" ref="X77:X85" ca="1" si="61">IF(IS_Cat, RANK(Budget, INDIRECT(Budget_Range),0),"")</f>
        <v/>
      </c>
      <c r="Y77" t="str">
        <f t="shared" ref="Y77:Y85" si="62">IF(IS_Cat, _xlfn.NUMBERVALUE(Tracked_USD_Rank &amp; Budget_Rank), "")</f>
        <v/>
      </c>
      <c r="Z77" t="str">
        <f t="shared" ref="Z77:Z85" si="63">IF(IS_Cat, ADDRESS(Sort_Min_Row, COLUMN(Comb_Rank)) &amp; ":" &amp; ADDRESS(Sort_Max_Row, COLUMN(Comb_Rank)), "")</f>
        <v/>
      </c>
      <c r="AA77" t="str">
        <f t="shared" ref="AA77:AA85" ca="1" si="64">IF(IS_Cat, RANK(Comb_Rank, INDIRECT(Comb_Rank_Range), 1), "")</f>
        <v/>
      </c>
      <c r="AB77" t="str">
        <f t="shared" ref="AB77:AB85" si="65">IF(IS_Cat, ADDRESS(Sort_Min_Row, COLUMN(Comb_Rank_Norm)) &amp; ":" &amp; ADDRESS(ROW(), COLUMN(Comb_Rank_Norm)), "")</f>
        <v/>
      </c>
      <c r="AC77" s="3" t="str">
        <f t="shared" ref="AC77:AC85" ca="1" si="66">IF(IS_Cat, Comb_Rank_Norm + COUNTIF(INDIRECT(Comb_Rank_Norm_Run_Range), Comb_Rank_Norm)-1,"")</f>
        <v/>
      </c>
      <c r="AD77" s="65">
        <f t="shared" ref="AD77:AD85" si="67">IF(IS_Cat, Header_Row_ID + Comb_Rank_Unique, Row_ID)</f>
        <v>-1</v>
      </c>
      <c r="AE77" s="66" t="str">
        <f t="shared" ref="AE77:AE85" si="68">IF(IS_Empty, "", INDEX($J:$J, MATCH(Row_ID, $AD:$AD, 0)))</f>
        <v/>
      </c>
      <c r="AF77" s="69" t="str">
        <f t="shared" ref="AF77:AF85" si="69">IF(IS_Empty, "", IF(IS_Header, "Tracked $", INDEX($K:$K, MATCH(Row_ID, $AD:$AD, 0))))</f>
        <v/>
      </c>
      <c r="AG77" s="69" t="str">
        <f t="shared" ref="AG77:AG85" si="70">IF(IS_Empty, "", IF(IS_Header, "Tracked LBP", INDEX($L:$L, MATCH(Row_ID, $AD:$AD, 0))))</f>
        <v/>
      </c>
      <c r="AH77" s="69" t="str">
        <f t="shared" ref="AH77:AH85" si="71">IF(IS_Empty, "", IF(IS_Header, "Tracked €", INDEX($M:$M, MATCH(Row_ID, $AD:$AD, 0))))</f>
        <v/>
      </c>
      <c r="AI77" s="69" t="str">
        <f t="shared" ref="AI77:AI85" si="72">IF(IS_Empty, "", IF(IS_Header, "Budget", INDEX($N:$N, MATCH(Row_ID, $AD:$AD, 0))))</f>
        <v/>
      </c>
      <c r="AJ77" s="68" t="str">
        <f t="shared" ref="AJ77:AJ85" si="73">IF(IS_Empty, "", IF(IS_Header, "% Compl.", IFERROR(Out_Tracked_USD/ Out_Budget, "-")))</f>
        <v/>
      </c>
      <c r="AK77" s="69" t="str">
        <f t="shared" ref="AK77:AK85" si="74">IF(IS_Empty, "", IF(IS_Header, "Remaining", IF(Out_Budget - Out_Tracked_USD &gt; 0, Out_Budget - Out_Tracked_USD, 0)))</f>
        <v/>
      </c>
      <c r="AL77" s="69" t="str">
        <f t="shared" ref="AL77:AL85" si="75">IF(IS_Empty, "", IF(IS_Header, "Excess", IF(Out_Budget - Out_Tracked_USD &lt; 0, Out_Tracked_USD - Out_Budget, 0)))</f>
        <v/>
      </c>
    </row>
    <row r="78" spans="3:38" x14ac:dyDescent="0.25">
      <c r="C78" s="2" cm="1">
        <f t="array" ref="C78">IF(C77 = -1, -1,
 IF(C77 &lt; Income_Max_Row, C77+1,
  IF(C77 = Income_Max_Row, Income_Total_Row,
   IF(C77 = Income_Total_Row, "/1",
    IF(C77 = "/1", Expenses_Header_Row,
     IF(C77 &lt; Expenses_Max_Row, C77+1,
      IF(C77 = Expenses_Max_Row, Expenses_Total_Row,
       IF(C77 = Expenses_Total_Row, "/2",
        IF(C77 = "/2", Savings_Header_Row,
         IF(C77 &lt; Savings_Max_Row, C77+1,
          IF(C77 = Savings_Max_Row, Savings_Total_Row, -1)))))))))))</f>
        <v>-1</v>
      </c>
      <c r="D78" s="3">
        <f t="shared" si="51"/>
        <v>-1</v>
      </c>
      <c r="E78" s="2" cm="1">
        <f t="array" ref="E78">1*OR(Row_ID = Income_Header_Row, Row_ID = Expenses_Header_Row, Row_ID = Savings_Header_Row)</f>
        <v>0</v>
      </c>
      <c r="F78">
        <f t="shared" si="52"/>
        <v>0</v>
      </c>
      <c r="G78" cm="1">
        <f t="array" ref="G78">1*OR(Row_ID = Income_Total_Row, Row_ID = Expenses_Total_Row, Row_ID = Savings_Total_Row)</f>
        <v>0</v>
      </c>
      <c r="H78" s="3">
        <f t="shared" si="53"/>
        <v>1</v>
      </c>
      <c r="I78" s="2" t="str" cm="1">
        <f t="array" ref="I78">IFERROR(INDEX('Budget Planning'!$C:$C, Header_Row_ID),"")</f>
        <v/>
      </c>
      <c r="J78" t="str" cm="1">
        <f t="array" ref="J78">IFERROR(INDEX('Budget Planning'!$C:$C, Row_ID),"")</f>
        <v/>
      </c>
      <c r="K78" s="62" t="str" cm="1">
        <f t="array" ref="K78">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78" s="62" t="str" cm="1">
        <f t="array" ref="L78">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78" s="62" t="str" cm="1">
        <f t="array" ref="M78">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78" s="63" t="str" cm="1">
        <f t="array" ref="N78">IF(OR(IS_Header,IS_Empty),"",
  INDEX('Budget Planning'!$E:$EM,Row_ID,
   MATCH(IF(Selected_Period = "Total Year", Selected_Year, DATE(Selected_Year,Selected_Period,1)),'Budget Planning'!$E$9:$CI$9,0) ))</f>
        <v/>
      </c>
      <c r="O78" s="2" t="str" cm="1">
        <f t="array" ref="O78">IF(IS_Cat,
  IF(Header_Row_ID = Income_Header_Row, MATCH(Income_Min_Row, $C:$C, 0),
   IF(Header_Row_ID = Expenses_Header_Row, MATCH(Expenses_Min_Row, $C:$C, 0),
    IF(Header_Row_ID = Savings_Header_Row, MATCH(Savings_Min_Row, $C:$C, 0),""))), "")</f>
        <v/>
      </c>
      <c r="P78" s="3" t="str" cm="1">
        <f t="array" ref="P78">IF(IS_Cat,
  IF(Header_Row_ID = Income_Header_Row, MATCH(Income_Max_Row, $C:$C, 0),
   IF(Header_Row_ID = Expenses_Header_Row, MATCH(Expenses_Max_Row, $C:$C, 0),
    IF(Header_Row_ID = Savings_Header_Row, MATCH(Savings_Max_Row, $C:$C, 0),""))), "")</f>
        <v/>
      </c>
      <c r="Q78" s="2" t="str">
        <f t="shared" si="54"/>
        <v/>
      </c>
      <c r="R78" t="str">
        <f t="shared" ca="1" si="55"/>
        <v/>
      </c>
      <c r="S78" t="str">
        <f t="shared" si="56"/>
        <v/>
      </c>
      <c r="T78" t="str">
        <f t="shared" ca="1" si="57"/>
        <v/>
      </c>
      <c r="U78" t="str">
        <f t="shared" si="58"/>
        <v/>
      </c>
      <c r="V78" t="str">
        <f t="shared" ca="1" si="59"/>
        <v/>
      </c>
      <c r="W78" t="str">
        <f t="shared" si="60"/>
        <v/>
      </c>
      <c r="X78" s="3" t="str">
        <f t="shared" ca="1" si="61"/>
        <v/>
      </c>
      <c r="Y78" t="str">
        <f t="shared" si="62"/>
        <v/>
      </c>
      <c r="Z78" t="str">
        <f t="shared" si="63"/>
        <v/>
      </c>
      <c r="AA78" t="str">
        <f t="shared" ca="1" si="64"/>
        <v/>
      </c>
      <c r="AB78" t="str">
        <f t="shared" si="65"/>
        <v/>
      </c>
      <c r="AC78" s="3" t="str">
        <f t="shared" ca="1" si="66"/>
        <v/>
      </c>
      <c r="AD78" s="65">
        <f t="shared" si="67"/>
        <v>-1</v>
      </c>
      <c r="AE78" s="66" t="str">
        <f t="shared" si="68"/>
        <v/>
      </c>
      <c r="AF78" s="69" t="str">
        <f t="shared" si="69"/>
        <v/>
      </c>
      <c r="AG78" s="69" t="str">
        <f t="shared" si="70"/>
        <v/>
      </c>
      <c r="AH78" s="69" t="str">
        <f t="shared" si="71"/>
        <v/>
      </c>
      <c r="AI78" s="69" t="str">
        <f t="shared" si="72"/>
        <v/>
      </c>
      <c r="AJ78" s="68" t="str">
        <f t="shared" si="73"/>
        <v/>
      </c>
      <c r="AK78" s="69" t="str">
        <f t="shared" si="74"/>
        <v/>
      </c>
      <c r="AL78" s="69" t="str">
        <f t="shared" si="75"/>
        <v/>
      </c>
    </row>
    <row r="79" spans="3:38" x14ac:dyDescent="0.25">
      <c r="C79" s="2" cm="1">
        <f t="array" ref="C79">IF(C78 = -1, -1,
 IF(C78 &lt; Income_Max_Row, C78+1,
  IF(C78 = Income_Max_Row, Income_Total_Row,
   IF(C78 = Income_Total_Row, "/1",
    IF(C78 = "/1", Expenses_Header_Row,
     IF(C78 &lt; Expenses_Max_Row, C78+1,
      IF(C78 = Expenses_Max_Row, Expenses_Total_Row,
       IF(C78 = Expenses_Total_Row, "/2",
        IF(C78 = "/2", Savings_Header_Row,
         IF(C78 &lt; Savings_Max_Row, C78+1,
          IF(C78 = Savings_Max_Row, Savings_Total_Row, -1)))))))))))</f>
        <v>-1</v>
      </c>
      <c r="D79" s="3">
        <f t="shared" si="51"/>
        <v>-1</v>
      </c>
      <c r="E79" s="2" cm="1">
        <f t="array" ref="E79">1*OR(Row_ID = Income_Header_Row, Row_ID = Expenses_Header_Row, Row_ID = Savings_Header_Row)</f>
        <v>0</v>
      </c>
      <c r="F79">
        <f t="shared" si="52"/>
        <v>0</v>
      </c>
      <c r="G79" cm="1">
        <f t="array" ref="G79">1*OR(Row_ID = Income_Total_Row, Row_ID = Expenses_Total_Row, Row_ID = Savings_Total_Row)</f>
        <v>0</v>
      </c>
      <c r="H79" s="3">
        <f t="shared" si="53"/>
        <v>1</v>
      </c>
      <c r="I79" s="2" t="str" cm="1">
        <f t="array" ref="I79">IFERROR(INDEX('Budget Planning'!$C:$C, Header_Row_ID),"")</f>
        <v/>
      </c>
      <c r="J79" t="str" cm="1">
        <f t="array" ref="J79">IFERROR(INDEX('Budget Planning'!$C:$C, Row_ID),"")</f>
        <v/>
      </c>
      <c r="K79" s="62" t="str" cm="1">
        <f t="array" ref="K79">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79" s="62" t="str" cm="1">
        <f t="array" ref="L79">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79" s="62" t="str" cm="1">
        <f t="array" ref="M79">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79" s="63" t="str" cm="1">
        <f t="array" ref="N79">IF(OR(IS_Header,IS_Empty),"",
  INDEX('Budget Planning'!$E:$EM,Row_ID,
   MATCH(IF(Selected_Period = "Total Year", Selected_Year, DATE(Selected_Year,Selected_Period,1)),'Budget Planning'!$E$9:$CI$9,0) ))</f>
        <v/>
      </c>
      <c r="O79" s="2" t="str" cm="1">
        <f t="array" ref="O79">IF(IS_Cat,
  IF(Header_Row_ID = Income_Header_Row, MATCH(Income_Min_Row, $C:$C, 0),
   IF(Header_Row_ID = Expenses_Header_Row, MATCH(Expenses_Min_Row, $C:$C, 0),
    IF(Header_Row_ID = Savings_Header_Row, MATCH(Savings_Min_Row, $C:$C, 0),""))), "")</f>
        <v/>
      </c>
      <c r="P79" s="3" t="str" cm="1">
        <f t="array" ref="P79">IF(IS_Cat,
  IF(Header_Row_ID = Income_Header_Row, MATCH(Income_Max_Row, $C:$C, 0),
   IF(Header_Row_ID = Expenses_Header_Row, MATCH(Expenses_Max_Row, $C:$C, 0),
    IF(Header_Row_ID = Savings_Header_Row, MATCH(Savings_Max_Row, $C:$C, 0),""))), "")</f>
        <v/>
      </c>
      <c r="Q79" s="2" t="str">
        <f t="shared" si="54"/>
        <v/>
      </c>
      <c r="R79" t="str">
        <f t="shared" ca="1" si="55"/>
        <v/>
      </c>
      <c r="S79" t="str">
        <f t="shared" si="56"/>
        <v/>
      </c>
      <c r="T79" t="str">
        <f t="shared" ca="1" si="57"/>
        <v/>
      </c>
      <c r="U79" t="str">
        <f t="shared" si="58"/>
        <v/>
      </c>
      <c r="V79" t="str">
        <f t="shared" ca="1" si="59"/>
        <v/>
      </c>
      <c r="W79" t="str">
        <f t="shared" si="60"/>
        <v/>
      </c>
      <c r="X79" s="3" t="str">
        <f t="shared" ca="1" si="61"/>
        <v/>
      </c>
      <c r="Y79" t="str">
        <f t="shared" si="62"/>
        <v/>
      </c>
      <c r="Z79" t="str">
        <f t="shared" si="63"/>
        <v/>
      </c>
      <c r="AA79" t="str">
        <f t="shared" ca="1" si="64"/>
        <v/>
      </c>
      <c r="AB79" t="str">
        <f t="shared" si="65"/>
        <v/>
      </c>
      <c r="AC79" s="3" t="str">
        <f t="shared" ca="1" si="66"/>
        <v/>
      </c>
      <c r="AD79" s="65">
        <f t="shared" si="67"/>
        <v>-1</v>
      </c>
      <c r="AE79" s="66" t="str">
        <f t="shared" si="68"/>
        <v/>
      </c>
      <c r="AF79" s="69" t="str">
        <f t="shared" si="69"/>
        <v/>
      </c>
      <c r="AG79" s="69" t="str">
        <f t="shared" si="70"/>
        <v/>
      </c>
      <c r="AH79" s="69" t="str">
        <f t="shared" si="71"/>
        <v/>
      </c>
      <c r="AI79" s="69" t="str">
        <f t="shared" si="72"/>
        <v/>
      </c>
      <c r="AJ79" s="68" t="str">
        <f t="shared" si="73"/>
        <v/>
      </c>
      <c r="AK79" s="69" t="str">
        <f t="shared" si="74"/>
        <v/>
      </c>
      <c r="AL79" s="69" t="str">
        <f t="shared" si="75"/>
        <v/>
      </c>
    </row>
    <row r="80" spans="3:38" x14ac:dyDescent="0.25">
      <c r="C80" s="2" cm="1">
        <f t="array" ref="C80">IF(C79 = -1, -1,
 IF(C79 &lt; Income_Max_Row, C79+1,
  IF(C79 = Income_Max_Row, Income_Total_Row,
   IF(C79 = Income_Total_Row, "/1",
    IF(C79 = "/1", Expenses_Header_Row,
     IF(C79 &lt; Expenses_Max_Row, C79+1,
      IF(C79 = Expenses_Max_Row, Expenses_Total_Row,
       IF(C79 = Expenses_Total_Row, "/2",
        IF(C79 = "/2", Savings_Header_Row,
         IF(C79 &lt; Savings_Max_Row, C79+1,
          IF(C79 = Savings_Max_Row, Savings_Total_Row, -1)))))))))))</f>
        <v>-1</v>
      </c>
      <c r="D80" s="3">
        <f t="shared" si="51"/>
        <v>-1</v>
      </c>
      <c r="E80" s="2" cm="1">
        <f t="array" ref="E80">1*OR(Row_ID = Income_Header_Row, Row_ID = Expenses_Header_Row, Row_ID = Savings_Header_Row)</f>
        <v>0</v>
      </c>
      <c r="F80">
        <f t="shared" si="52"/>
        <v>0</v>
      </c>
      <c r="G80" cm="1">
        <f t="array" ref="G80">1*OR(Row_ID = Income_Total_Row, Row_ID = Expenses_Total_Row, Row_ID = Savings_Total_Row)</f>
        <v>0</v>
      </c>
      <c r="H80" s="3">
        <f t="shared" si="53"/>
        <v>1</v>
      </c>
      <c r="I80" s="2" t="str" cm="1">
        <f t="array" ref="I80">IFERROR(INDEX('Budget Planning'!$C:$C, Header_Row_ID),"")</f>
        <v/>
      </c>
      <c r="J80" t="str" cm="1">
        <f t="array" ref="J80">IFERROR(INDEX('Budget Planning'!$C:$C, Row_ID),"")</f>
        <v/>
      </c>
      <c r="K80" s="62" t="str" cm="1">
        <f t="array" ref="K80">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80" s="62" t="str" cm="1">
        <f t="array" ref="L80">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80" s="62" t="str" cm="1">
        <f t="array" ref="M80">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80" s="63" t="str" cm="1">
        <f t="array" ref="N80">IF(OR(IS_Header,IS_Empty),"",
  INDEX('Budget Planning'!$E:$EM,Row_ID,
   MATCH(IF(Selected_Period = "Total Year", Selected_Year, DATE(Selected_Year,Selected_Period,1)),'Budget Planning'!$E$9:$CI$9,0) ))</f>
        <v/>
      </c>
      <c r="O80" s="2" t="str" cm="1">
        <f t="array" ref="O80">IF(IS_Cat,
  IF(Header_Row_ID = Income_Header_Row, MATCH(Income_Min_Row, $C:$C, 0),
   IF(Header_Row_ID = Expenses_Header_Row, MATCH(Expenses_Min_Row, $C:$C, 0),
    IF(Header_Row_ID = Savings_Header_Row, MATCH(Savings_Min_Row, $C:$C, 0),""))), "")</f>
        <v/>
      </c>
      <c r="P80" s="3" t="str" cm="1">
        <f t="array" ref="P80">IF(IS_Cat,
  IF(Header_Row_ID = Income_Header_Row, MATCH(Income_Max_Row, $C:$C, 0),
   IF(Header_Row_ID = Expenses_Header_Row, MATCH(Expenses_Max_Row, $C:$C, 0),
    IF(Header_Row_ID = Savings_Header_Row, MATCH(Savings_Max_Row, $C:$C, 0),""))), "")</f>
        <v/>
      </c>
      <c r="Q80" s="2" t="str">
        <f t="shared" si="54"/>
        <v/>
      </c>
      <c r="R80" t="str">
        <f t="shared" ca="1" si="55"/>
        <v/>
      </c>
      <c r="S80" t="str">
        <f t="shared" si="56"/>
        <v/>
      </c>
      <c r="T80" t="str">
        <f t="shared" ca="1" si="57"/>
        <v/>
      </c>
      <c r="U80" t="str">
        <f t="shared" si="58"/>
        <v/>
      </c>
      <c r="V80" t="str">
        <f t="shared" ca="1" si="59"/>
        <v/>
      </c>
      <c r="W80" t="str">
        <f t="shared" si="60"/>
        <v/>
      </c>
      <c r="X80" s="3" t="str">
        <f t="shared" ca="1" si="61"/>
        <v/>
      </c>
      <c r="Y80" t="str">
        <f t="shared" si="62"/>
        <v/>
      </c>
      <c r="Z80" t="str">
        <f t="shared" si="63"/>
        <v/>
      </c>
      <c r="AA80" t="str">
        <f t="shared" ca="1" si="64"/>
        <v/>
      </c>
      <c r="AB80" t="str">
        <f t="shared" si="65"/>
        <v/>
      </c>
      <c r="AC80" s="3" t="str">
        <f t="shared" ca="1" si="66"/>
        <v/>
      </c>
      <c r="AD80" s="65">
        <f t="shared" si="67"/>
        <v>-1</v>
      </c>
      <c r="AE80" s="66" t="str">
        <f t="shared" si="68"/>
        <v/>
      </c>
      <c r="AF80" s="69" t="str">
        <f t="shared" si="69"/>
        <v/>
      </c>
      <c r="AG80" s="69" t="str">
        <f t="shared" si="70"/>
        <v/>
      </c>
      <c r="AH80" s="69" t="str">
        <f t="shared" si="71"/>
        <v/>
      </c>
      <c r="AI80" s="69" t="str">
        <f t="shared" si="72"/>
        <v/>
      </c>
      <c r="AJ80" s="68" t="str">
        <f t="shared" si="73"/>
        <v/>
      </c>
      <c r="AK80" s="69" t="str">
        <f t="shared" si="74"/>
        <v/>
      </c>
      <c r="AL80" s="69" t="str">
        <f t="shared" si="75"/>
        <v/>
      </c>
    </row>
    <row r="81" spans="3:38" x14ac:dyDescent="0.25">
      <c r="C81" s="2" cm="1">
        <f t="array" ref="C81">IF(C80 = -1, -1,
 IF(C80 &lt; Income_Max_Row, C80+1,
  IF(C80 = Income_Max_Row, Income_Total_Row,
   IF(C80 = Income_Total_Row, "/1",
    IF(C80 = "/1", Expenses_Header_Row,
     IF(C80 &lt; Expenses_Max_Row, C80+1,
      IF(C80 = Expenses_Max_Row, Expenses_Total_Row,
       IF(C80 = Expenses_Total_Row, "/2",
        IF(C80 = "/2", Savings_Header_Row,
         IF(C80 &lt; Savings_Max_Row, C80+1,
          IF(C80 = Savings_Max_Row, Savings_Total_Row, -1)))))))))))</f>
        <v>-1</v>
      </c>
      <c r="D81" s="3">
        <f t="shared" si="51"/>
        <v>-1</v>
      </c>
      <c r="E81" s="2" cm="1">
        <f t="array" ref="E81">1*OR(Row_ID = Income_Header_Row, Row_ID = Expenses_Header_Row, Row_ID = Savings_Header_Row)</f>
        <v>0</v>
      </c>
      <c r="F81">
        <f t="shared" si="52"/>
        <v>0</v>
      </c>
      <c r="G81" cm="1">
        <f t="array" ref="G81">1*OR(Row_ID = Income_Total_Row, Row_ID = Expenses_Total_Row, Row_ID = Savings_Total_Row)</f>
        <v>0</v>
      </c>
      <c r="H81" s="3">
        <f t="shared" si="53"/>
        <v>1</v>
      </c>
      <c r="I81" s="2" t="str" cm="1">
        <f t="array" ref="I81">IFERROR(INDEX('Budget Planning'!$C:$C, Header_Row_ID),"")</f>
        <v/>
      </c>
      <c r="J81" t="str" cm="1">
        <f t="array" ref="J81">IFERROR(INDEX('Budget Planning'!$C:$C, Row_ID),"")</f>
        <v/>
      </c>
      <c r="K81" s="62" t="str" cm="1">
        <f t="array" ref="K8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81" s="62" t="str" cm="1">
        <f t="array" ref="L81">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81" s="62" t="str" cm="1">
        <f t="array" ref="M81">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81" s="63" t="str" cm="1">
        <f t="array" ref="N81">IF(OR(IS_Header,IS_Empty),"",
  INDEX('Budget Planning'!$E:$EM,Row_ID,
   MATCH(IF(Selected_Period = "Total Year", Selected_Year, DATE(Selected_Year,Selected_Period,1)),'Budget Planning'!$E$9:$CI$9,0) ))</f>
        <v/>
      </c>
      <c r="O81" s="2" t="str" cm="1">
        <f t="array" ref="O81">IF(IS_Cat,
  IF(Header_Row_ID = Income_Header_Row, MATCH(Income_Min_Row, $C:$C, 0),
   IF(Header_Row_ID = Expenses_Header_Row, MATCH(Expenses_Min_Row, $C:$C, 0),
    IF(Header_Row_ID = Savings_Header_Row, MATCH(Savings_Min_Row, $C:$C, 0),""))), "")</f>
        <v/>
      </c>
      <c r="P81" s="3" t="str" cm="1">
        <f t="array" ref="P81">IF(IS_Cat,
  IF(Header_Row_ID = Income_Header_Row, MATCH(Income_Max_Row, $C:$C, 0),
   IF(Header_Row_ID = Expenses_Header_Row, MATCH(Expenses_Max_Row, $C:$C, 0),
    IF(Header_Row_ID = Savings_Header_Row, MATCH(Savings_Max_Row, $C:$C, 0),""))), "")</f>
        <v/>
      </c>
      <c r="Q81" s="2" t="str">
        <f t="shared" si="54"/>
        <v/>
      </c>
      <c r="R81" t="str">
        <f t="shared" ca="1" si="55"/>
        <v/>
      </c>
      <c r="S81" t="str">
        <f t="shared" si="56"/>
        <v/>
      </c>
      <c r="T81" t="str">
        <f t="shared" ca="1" si="57"/>
        <v/>
      </c>
      <c r="U81" t="str">
        <f t="shared" si="58"/>
        <v/>
      </c>
      <c r="V81" t="str">
        <f t="shared" ca="1" si="59"/>
        <v/>
      </c>
      <c r="W81" t="str">
        <f t="shared" si="60"/>
        <v/>
      </c>
      <c r="X81" s="3" t="str">
        <f t="shared" ca="1" si="61"/>
        <v/>
      </c>
      <c r="Y81" t="str">
        <f t="shared" si="62"/>
        <v/>
      </c>
      <c r="Z81" t="str">
        <f t="shared" si="63"/>
        <v/>
      </c>
      <c r="AA81" t="str">
        <f t="shared" ca="1" si="64"/>
        <v/>
      </c>
      <c r="AB81" t="str">
        <f t="shared" si="65"/>
        <v/>
      </c>
      <c r="AC81" s="3" t="str">
        <f t="shared" ca="1" si="66"/>
        <v/>
      </c>
      <c r="AD81" s="65">
        <f t="shared" si="67"/>
        <v>-1</v>
      </c>
      <c r="AE81" s="66" t="str">
        <f t="shared" si="68"/>
        <v/>
      </c>
      <c r="AF81" s="69" t="str">
        <f t="shared" si="69"/>
        <v/>
      </c>
      <c r="AG81" s="69" t="str">
        <f t="shared" si="70"/>
        <v/>
      </c>
      <c r="AH81" s="69" t="str">
        <f t="shared" si="71"/>
        <v/>
      </c>
      <c r="AI81" s="69" t="str">
        <f t="shared" si="72"/>
        <v/>
      </c>
      <c r="AJ81" s="68" t="str">
        <f t="shared" si="73"/>
        <v/>
      </c>
      <c r="AK81" s="69" t="str">
        <f t="shared" si="74"/>
        <v/>
      </c>
      <c r="AL81" s="69" t="str">
        <f t="shared" si="75"/>
        <v/>
      </c>
    </row>
    <row r="82" spans="3:38" x14ac:dyDescent="0.25">
      <c r="C82" s="2" cm="1">
        <f t="array" ref="C82">IF(C81 = -1, -1,
 IF(C81 &lt; Income_Max_Row, C81+1,
  IF(C81 = Income_Max_Row, Income_Total_Row,
   IF(C81 = Income_Total_Row, "/1",
    IF(C81 = "/1", Expenses_Header_Row,
     IF(C81 &lt; Expenses_Max_Row, C81+1,
      IF(C81 = Expenses_Max_Row, Expenses_Total_Row,
       IF(C81 = Expenses_Total_Row, "/2",
        IF(C81 = "/2", Savings_Header_Row,
         IF(C81 &lt; Savings_Max_Row, C81+1,
          IF(C81 = Savings_Max_Row, Savings_Total_Row, -1)))))))))))</f>
        <v>-1</v>
      </c>
      <c r="D82" s="3">
        <f t="shared" si="51"/>
        <v>-1</v>
      </c>
      <c r="E82" s="2" cm="1">
        <f t="array" ref="E82">1*OR(Row_ID = Income_Header_Row, Row_ID = Expenses_Header_Row, Row_ID = Savings_Header_Row)</f>
        <v>0</v>
      </c>
      <c r="F82">
        <f t="shared" si="52"/>
        <v>0</v>
      </c>
      <c r="G82" cm="1">
        <f t="array" ref="G82">1*OR(Row_ID = Income_Total_Row, Row_ID = Expenses_Total_Row, Row_ID = Savings_Total_Row)</f>
        <v>0</v>
      </c>
      <c r="H82" s="3">
        <f t="shared" si="53"/>
        <v>1</v>
      </c>
      <c r="I82" s="2" t="str" cm="1">
        <f t="array" ref="I82">IFERROR(INDEX('Budget Planning'!$C:$C, Header_Row_ID),"")</f>
        <v/>
      </c>
      <c r="J82" t="str" cm="1">
        <f t="array" ref="J82">IFERROR(INDEX('Budget Planning'!$C:$C, Row_ID),"")</f>
        <v/>
      </c>
      <c r="K82" s="62" t="str" cm="1">
        <f t="array" ref="K82">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82" s="62" t="str" cm="1">
        <f t="array" ref="L82">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82" s="62" t="str" cm="1">
        <f t="array" ref="M82">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82" s="63" t="str" cm="1">
        <f t="array" ref="N82">IF(OR(IS_Header,IS_Empty),"",
  INDEX('Budget Planning'!$E:$EM,Row_ID,
   MATCH(IF(Selected_Period = "Total Year", Selected_Year, DATE(Selected_Year,Selected_Period,1)),'Budget Planning'!$E$9:$CI$9,0) ))</f>
        <v/>
      </c>
      <c r="O82" s="2" t="str" cm="1">
        <f t="array" ref="O82">IF(IS_Cat,
  IF(Header_Row_ID = Income_Header_Row, MATCH(Income_Min_Row, $C:$C, 0),
   IF(Header_Row_ID = Expenses_Header_Row, MATCH(Expenses_Min_Row, $C:$C, 0),
    IF(Header_Row_ID = Savings_Header_Row, MATCH(Savings_Min_Row, $C:$C, 0),""))), "")</f>
        <v/>
      </c>
      <c r="P82" s="3" t="str" cm="1">
        <f t="array" ref="P82">IF(IS_Cat,
  IF(Header_Row_ID = Income_Header_Row, MATCH(Income_Max_Row, $C:$C, 0),
   IF(Header_Row_ID = Expenses_Header_Row, MATCH(Expenses_Max_Row, $C:$C, 0),
    IF(Header_Row_ID = Savings_Header_Row, MATCH(Savings_Max_Row, $C:$C, 0),""))), "")</f>
        <v/>
      </c>
      <c r="Q82" s="2" t="str">
        <f t="shared" si="54"/>
        <v/>
      </c>
      <c r="R82" t="str">
        <f t="shared" ca="1" si="55"/>
        <v/>
      </c>
      <c r="S82" t="str">
        <f t="shared" si="56"/>
        <v/>
      </c>
      <c r="T82" t="str">
        <f t="shared" ca="1" si="57"/>
        <v/>
      </c>
      <c r="U82" t="str">
        <f t="shared" si="58"/>
        <v/>
      </c>
      <c r="V82" t="str">
        <f t="shared" ca="1" si="59"/>
        <v/>
      </c>
      <c r="W82" t="str">
        <f t="shared" si="60"/>
        <v/>
      </c>
      <c r="X82" s="3" t="str">
        <f t="shared" ca="1" si="61"/>
        <v/>
      </c>
      <c r="Y82" t="str">
        <f t="shared" si="62"/>
        <v/>
      </c>
      <c r="Z82" t="str">
        <f t="shared" si="63"/>
        <v/>
      </c>
      <c r="AA82" t="str">
        <f t="shared" ca="1" si="64"/>
        <v/>
      </c>
      <c r="AB82" t="str">
        <f t="shared" si="65"/>
        <v/>
      </c>
      <c r="AC82" s="3" t="str">
        <f t="shared" ca="1" si="66"/>
        <v/>
      </c>
      <c r="AD82" s="65">
        <f t="shared" si="67"/>
        <v>-1</v>
      </c>
      <c r="AE82" s="66" t="str">
        <f t="shared" si="68"/>
        <v/>
      </c>
      <c r="AF82" s="69" t="str">
        <f t="shared" si="69"/>
        <v/>
      </c>
      <c r="AG82" s="69" t="str">
        <f t="shared" si="70"/>
        <v/>
      </c>
      <c r="AH82" s="69" t="str">
        <f t="shared" si="71"/>
        <v/>
      </c>
      <c r="AI82" s="69" t="str">
        <f t="shared" si="72"/>
        <v/>
      </c>
      <c r="AJ82" s="68" t="str">
        <f t="shared" si="73"/>
        <v/>
      </c>
      <c r="AK82" s="69" t="str">
        <f t="shared" si="74"/>
        <v/>
      </c>
      <c r="AL82" s="69" t="str">
        <f t="shared" si="75"/>
        <v/>
      </c>
    </row>
    <row r="83" spans="3:38" x14ac:dyDescent="0.25">
      <c r="C83" s="2" cm="1">
        <f t="array" ref="C83">IF(C82 = -1, -1,
 IF(C82 &lt; Income_Max_Row, C82+1,
  IF(C82 = Income_Max_Row, Income_Total_Row,
   IF(C82 = Income_Total_Row, "/1",
    IF(C82 = "/1", Expenses_Header_Row,
     IF(C82 &lt; Expenses_Max_Row, C82+1,
      IF(C82 = Expenses_Max_Row, Expenses_Total_Row,
       IF(C82 = Expenses_Total_Row, "/2",
        IF(C82 = "/2", Savings_Header_Row,
         IF(C82 &lt; Savings_Max_Row, C82+1,
          IF(C82 = Savings_Max_Row, Savings_Total_Row, -1)))))))))))</f>
        <v>-1</v>
      </c>
      <c r="D83" s="3">
        <f t="shared" si="51"/>
        <v>-1</v>
      </c>
      <c r="E83" s="2" cm="1">
        <f t="array" ref="E83">1*OR(Row_ID = Income_Header_Row, Row_ID = Expenses_Header_Row, Row_ID = Savings_Header_Row)</f>
        <v>0</v>
      </c>
      <c r="F83">
        <f t="shared" si="52"/>
        <v>0</v>
      </c>
      <c r="G83" cm="1">
        <f t="array" ref="G83">1*OR(Row_ID = Income_Total_Row, Row_ID = Expenses_Total_Row, Row_ID = Savings_Total_Row)</f>
        <v>0</v>
      </c>
      <c r="H83" s="3">
        <f t="shared" si="53"/>
        <v>1</v>
      </c>
      <c r="I83" s="2" t="str" cm="1">
        <f t="array" ref="I83">IFERROR(INDEX('Budget Planning'!$C:$C, Header_Row_ID),"")</f>
        <v/>
      </c>
      <c r="J83" t="str" cm="1">
        <f t="array" ref="J83">IFERROR(INDEX('Budget Planning'!$C:$C, Row_ID),"")</f>
        <v/>
      </c>
      <c r="K83" s="62" t="str" cm="1">
        <f t="array" ref="K83">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83" s="62" t="str" cm="1">
        <f t="array" ref="L83">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83" s="62" t="str" cm="1">
        <f t="array" ref="M83">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83" s="63" t="str" cm="1">
        <f t="array" ref="N83">IF(OR(IS_Header,IS_Empty),"",
  INDEX('Budget Planning'!$E:$EM,Row_ID,
   MATCH(IF(Selected_Period = "Total Year", Selected_Year, DATE(Selected_Year,Selected_Period,1)),'Budget Planning'!$E$9:$CI$9,0) ))</f>
        <v/>
      </c>
      <c r="O83" s="2" t="str" cm="1">
        <f t="array" ref="O83">IF(IS_Cat,
  IF(Header_Row_ID = Income_Header_Row, MATCH(Income_Min_Row, $C:$C, 0),
   IF(Header_Row_ID = Expenses_Header_Row, MATCH(Expenses_Min_Row, $C:$C, 0),
    IF(Header_Row_ID = Savings_Header_Row, MATCH(Savings_Min_Row, $C:$C, 0),""))), "")</f>
        <v/>
      </c>
      <c r="P83" s="3" t="str" cm="1">
        <f t="array" ref="P83">IF(IS_Cat,
  IF(Header_Row_ID = Income_Header_Row, MATCH(Income_Max_Row, $C:$C, 0),
   IF(Header_Row_ID = Expenses_Header_Row, MATCH(Expenses_Max_Row, $C:$C, 0),
    IF(Header_Row_ID = Savings_Header_Row, MATCH(Savings_Max_Row, $C:$C, 0),""))), "")</f>
        <v/>
      </c>
      <c r="Q83" s="2" t="str">
        <f t="shared" si="54"/>
        <v/>
      </c>
      <c r="R83" t="str">
        <f t="shared" ca="1" si="55"/>
        <v/>
      </c>
      <c r="S83" t="str">
        <f t="shared" si="56"/>
        <v/>
      </c>
      <c r="T83" t="str">
        <f t="shared" ca="1" si="57"/>
        <v/>
      </c>
      <c r="U83" t="str">
        <f t="shared" si="58"/>
        <v/>
      </c>
      <c r="V83" t="str">
        <f t="shared" ca="1" si="59"/>
        <v/>
      </c>
      <c r="W83" t="str">
        <f t="shared" si="60"/>
        <v/>
      </c>
      <c r="X83" s="3" t="str">
        <f t="shared" ca="1" si="61"/>
        <v/>
      </c>
      <c r="Y83" t="str">
        <f t="shared" si="62"/>
        <v/>
      </c>
      <c r="Z83" t="str">
        <f t="shared" si="63"/>
        <v/>
      </c>
      <c r="AA83" t="str">
        <f t="shared" ca="1" si="64"/>
        <v/>
      </c>
      <c r="AB83" t="str">
        <f t="shared" si="65"/>
        <v/>
      </c>
      <c r="AC83" s="3" t="str">
        <f t="shared" ca="1" si="66"/>
        <v/>
      </c>
      <c r="AD83" s="65">
        <f t="shared" si="67"/>
        <v>-1</v>
      </c>
      <c r="AE83" s="66" t="str">
        <f t="shared" si="68"/>
        <v/>
      </c>
      <c r="AF83" s="69" t="str">
        <f t="shared" si="69"/>
        <v/>
      </c>
      <c r="AG83" s="69" t="str">
        <f t="shared" si="70"/>
        <v/>
      </c>
      <c r="AH83" s="69" t="str">
        <f t="shared" si="71"/>
        <v/>
      </c>
      <c r="AI83" s="69" t="str">
        <f t="shared" si="72"/>
        <v/>
      </c>
      <c r="AJ83" s="68" t="str">
        <f t="shared" si="73"/>
        <v/>
      </c>
      <c r="AK83" s="69" t="str">
        <f t="shared" si="74"/>
        <v/>
      </c>
      <c r="AL83" s="69" t="str">
        <f t="shared" si="75"/>
        <v/>
      </c>
    </row>
    <row r="84" spans="3:38" x14ac:dyDescent="0.25">
      <c r="C84" s="2" cm="1">
        <f t="array" ref="C84">IF(C83 = -1, -1,
 IF(C83 &lt; Income_Max_Row, C83+1,
  IF(C83 = Income_Max_Row, Income_Total_Row,
   IF(C83 = Income_Total_Row, "/1",
    IF(C83 = "/1", Expenses_Header_Row,
     IF(C83 &lt; Expenses_Max_Row, C83+1,
      IF(C83 = Expenses_Max_Row, Expenses_Total_Row,
       IF(C83 = Expenses_Total_Row, "/2",
        IF(C83 = "/2", Savings_Header_Row,
         IF(C83 &lt; Savings_Max_Row, C83+1,
          IF(C83 = Savings_Max_Row, Savings_Total_Row, -1)))))))))))</f>
        <v>-1</v>
      </c>
      <c r="D84" s="3">
        <f t="shared" si="51"/>
        <v>-1</v>
      </c>
      <c r="E84" s="2" cm="1">
        <f t="array" ref="E84">1*OR(Row_ID = Income_Header_Row, Row_ID = Expenses_Header_Row, Row_ID = Savings_Header_Row)</f>
        <v>0</v>
      </c>
      <c r="F84">
        <f t="shared" si="52"/>
        <v>0</v>
      </c>
      <c r="G84" cm="1">
        <f t="array" ref="G84">1*OR(Row_ID = Income_Total_Row, Row_ID = Expenses_Total_Row, Row_ID = Savings_Total_Row)</f>
        <v>0</v>
      </c>
      <c r="H84" s="3">
        <f t="shared" si="53"/>
        <v>1</v>
      </c>
      <c r="I84" s="2" t="str" cm="1">
        <f t="array" ref="I84">IFERROR(INDEX('Budget Planning'!$C:$C, Header_Row_ID),"")</f>
        <v/>
      </c>
      <c r="J84" t="str" cm="1">
        <f t="array" ref="J84">IFERROR(INDEX('Budget Planning'!$C:$C, Row_ID),"")</f>
        <v/>
      </c>
      <c r="K84" s="62" t="str" cm="1">
        <f t="array" ref="K84">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84" s="62" t="str" cm="1">
        <f t="array" ref="L84">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84" s="62" t="str" cm="1">
        <f t="array" ref="M84">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84" s="63" t="str" cm="1">
        <f t="array" ref="N84">IF(OR(IS_Header,IS_Empty),"",
  INDEX('Budget Planning'!$E:$EM,Row_ID,
   MATCH(IF(Selected_Period = "Total Year", Selected_Year, DATE(Selected_Year,Selected_Period,1)),'Budget Planning'!$E$9:$CI$9,0) ))</f>
        <v/>
      </c>
      <c r="O84" s="2" t="str" cm="1">
        <f t="array" ref="O84">IF(IS_Cat,
  IF(Header_Row_ID = Income_Header_Row, MATCH(Income_Min_Row, $C:$C, 0),
   IF(Header_Row_ID = Expenses_Header_Row, MATCH(Expenses_Min_Row, $C:$C, 0),
    IF(Header_Row_ID = Savings_Header_Row, MATCH(Savings_Min_Row, $C:$C, 0),""))), "")</f>
        <v/>
      </c>
      <c r="P84" s="3" t="str" cm="1">
        <f t="array" ref="P84">IF(IS_Cat,
  IF(Header_Row_ID = Income_Header_Row, MATCH(Income_Max_Row, $C:$C, 0),
   IF(Header_Row_ID = Expenses_Header_Row, MATCH(Expenses_Max_Row, $C:$C, 0),
    IF(Header_Row_ID = Savings_Header_Row, MATCH(Savings_Max_Row, $C:$C, 0),""))), "")</f>
        <v/>
      </c>
      <c r="Q84" s="2" t="str">
        <f t="shared" si="54"/>
        <v/>
      </c>
      <c r="R84" t="str">
        <f t="shared" ca="1" si="55"/>
        <v/>
      </c>
      <c r="S84" t="str">
        <f t="shared" si="56"/>
        <v/>
      </c>
      <c r="T84" t="str">
        <f t="shared" ca="1" si="57"/>
        <v/>
      </c>
      <c r="U84" t="str">
        <f t="shared" si="58"/>
        <v/>
      </c>
      <c r="V84" t="str">
        <f t="shared" ca="1" si="59"/>
        <v/>
      </c>
      <c r="W84" t="str">
        <f t="shared" si="60"/>
        <v/>
      </c>
      <c r="X84" s="3" t="str">
        <f t="shared" ca="1" si="61"/>
        <v/>
      </c>
      <c r="Y84" t="str">
        <f t="shared" si="62"/>
        <v/>
      </c>
      <c r="Z84" t="str">
        <f t="shared" si="63"/>
        <v/>
      </c>
      <c r="AA84" t="str">
        <f t="shared" ca="1" si="64"/>
        <v/>
      </c>
      <c r="AB84" t="str">
        <f t="shared" si="65"/>
        <v/>
      </c>
      <c r="AC84" s="3" t="str">
        <f t="shared" ca="1" si="66"/>
        <v/>
      </c>
      <c r="AD84" s="65">
        <f t="shared" si="67"/>
        <v>-1</v>
      </c>
      <c r="AE84" s="66" t="str">
        <f t="shared" si="68"/>
        <v/>
      </c>
      <c r="AF84" s="69" t="str">
        <f t="shared" si="69"/>
        <v/>
      </c>
      <c r="AG84" s="69" t="str">
        <f t="shared" si="70"/>
        <v/>
      </c>
      <c r="AH84" s="69" t="str">
        <f t="shared" si="71"/>
        <v/>
      </c>
      <c r="AI84" s="69" t="str">
        <f t="shared" si="72"/>
        <v/>
      </c>
      <c r="AJ84" s="68" t="str">
        <f t="shared" si="73"/>
        <v/>
      </c>
      <c r="AK84" s="69" t="str">
        <f t="shared" si="74"/>
        <v/>
      </c>
      <c r="AL84" s="69" t="str">
        <f t="shared" si="75"/>
        <v/>
      </c>
    </row>
    <row r="85" spans="3:38" x14ac:dyDescent="0.25">
      <c r="C85" s="2" cm="1">
        <f t="array" ref="C85">IF(C84 = -1, -1,
 IF(C84 &lt; Income_Max_Row, C84+1,
  IF(C84 = Income_Max_Row, Income_Total_Row,
   IF(C84 = Income_Total_Row, "/1",
    IF(C84 = "/1", Expenses_Header_Row,
     IF(C84 &lt; Expenses_Max_Row, C84+1,
      IF(C84 = Expenses_Max_Row, Expenses_Total_Row,
       IF(C84 = Expenses_Total_Row, "/2",
        IF(C84 = "/2", Savings_Header_Row,
         IF(C84 &lt; Savings_Max_Row, C84+1,
          IF(C84 = Savings_Max_Row, Savings_Total_Row, -1)))))))))))</f>
        <v>-1</v>
      </c>
      <c r="D85" s="3">
        <f t="shared" si="51"/>
        <v>-1</v>
      </c>
      <c r="E85" s="2" cm="1">
        <f t="array" ref="E85">1*OR(Row_ID = Income_Header_Row, Row_ID = Expenses_Header_Row, Row_ID = Savings_Header_Row)</f>
        <v>0</v>
      </c>
      <c r="F85">
        <f t="shared" si="52"/>
        <v>0</v>
      </c>
      <c r="G85" cm="1">
        <f t="array" ref="G85">1*OR(Row_ID = Income_Total_Row, Row_ID = Expenses_Total_Row, Row_ID = Savings_Total_Row)</f>
        <v>0</v>
      </c>
      <c r="H85" s="3">
        <f t="shared" si="53"/>
        <v>1</v>
      </c>
      <c r="I85" s="2" t="str" cm="1">
        <f t="array" ref="I85">IFERROR(INDEX('Budget Planning'!$C:$C, Header_Row_ID),"")</f>
        <v/>
      </c>
      <c r="J85" t="str" cm="1">
        <f t="array" ref="J85">IFERROR(INDEX('Budget Planning'!$C:$C, Row_ID),"")</f>
        <v/>
      </c>
      <c r="K85" s="62" t="str" cm="1">
        <f t="array" ref="K85">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L85" s="62" t="str" cm="1">
        <f t="array" ref="L85">IF(OR(IS_Header, IS_Empty),"",
 IF(IS_Total,
  IF(Selected_Period = "Total Year",
   SUM(Tracking[Amount LBP] * (Tracking[Type] = Type) * (YEAR(Tracking[Effective Date]) = Selected_Year)),
   SUM(Tracking[Amount LBP] * (Tracking[Type] = Type) * (YEAR(Tracking[Effective Date]) = Selected_Year) * (MONTH(Tracking[Effective Date]) = Selected_Period) )),
  IF(Selected_Period = "Total Year",
   SUM(Tracking[Amount LBP] * (Tracking[Type] = Type) * (Tracking[Category]=Item) * (YEAR(Tracking[Effective Date]) = Selected_Year)),
   SUM(Tracking[Amount LBP] * (Tracking[Type] = Type) * (Tracking[Category]=Item) * (YEAR(Tracking[Effective Date]) = Selected_Year) * (MONTH(Tracking[Effective Date]) = Selected_Period) ))
)
)</f>
        <v/>
      </c>
      <c r="M85" s="62" t="str" cm="1">
        <f t="array" ref="M85">IF(OR(IS_Header, IS_Empty),"",
 IF(IS_Total,
  IF(Selected_Period = "Total Year",
   SUM(Tracking[Amount €] * (Tracking[Type] = Type) * (YEAR(Tracking[Effective Date]) = Selected_Year)),
   SUM(Tracking[Amount €] * (Tracking[Type] = Type) * (YEAR(Tracking[Effective Date]) = Selected_Year) * (MONTH(Tracking[Effective Date]) = Selected_Period) )),
  IF(Selected_Period = "Total Year",
   SUM(Tracking[Amount €] * (Tracking[Type] = Type) * (Tracking[Category]=Item) * (YEAR(Tracking[Effective Date]) = Selected_Year)),
   SUM(Tracking[Amount €] * (Tracking[Type] = Type) * (Tracking[Category]=Item) * (YEAR(Tracking[Effective Date]) = Selected_Year) * (MONTH(Tracking[Effective Date]) = Selected_Period) ))
)
)</f>
        <v/>
      </c>
      <c r="N85" s="63" t="str" cm="1">
        <f t="array" ref="N85">IF(OR(IS_Header,IS_Empty),"",
  INDEX('Budget Planning'!$E:$EM,Row_ID,
   MATCH(IF(Selected_Period = "Total Year", Selected_Year, DATE(Selected_Year,Selected_Period,1)),'Budget Planning'!$E$9:$CI$9,0) ))</f>
        <v/>
      </c>
      <c r="O85" s="2" t="str" cm="1">
        <f t="array" ref="O85">IF(IS_Cat,
  IF(Header_Row_ID = Income_Header_Row, MATCH(Income_Min_Row, $C:$C, 0),
   IF(Header_Row_ID = Expenses_Header_Row, MATCH(Expenses_Min_Row, $C:$C, 0),
    IF(Header_Row_ID = Savings_Header_Row, MATCH(Savings_Min_Row, $C:$C, 0),""))), "")</f>
        <v/>
      </c>
      <c r="P85" s="3" t="str" cm="1">
        <f t="array" ref="P85">IF(IS_Cat,
  IF(Header_Row_ID = Income_Header_Row, MATCH(Income_Max_Row, $C:$C, 0),
   IF(Header_Row_ID = Expenses_Header_Row, MATCH(Expenses_Max_Row, $C:$C, 0),
    IF(Header_Row_ID = Savings_Header_Row, MATCH(Savings_Max_Row, $C:$C, 0),""))), "")</f>
        <v/>
      </c>
      <c r="Q85" s="2" t="str">
        <f t="shared" si="54"/>
        <v/>
      </c>
      <c r="R85" t="str">
        <f t="shared" ca="1" si="55"/>
        <v/>
      </c>
      <c r="S85" t="str">
        <f t="shared" si="56"/>
        <v/>
      </c>
      <c r="T85" t="str">
        <f t="shared" ca="1" si="57"/>
        <v/>
      </c>
      <c r="U85" t="str">
        <f t="shared" si="58"/>
        <v/>
      </c>
      <c r="V85" t="str">
        <f t="shared" ca="1" si="59"/>
        <v/>
      </c>
      <c r="W85" t="str">
        <f t="shared" si="60"/>
        <v/>
      </c>
      <c r="X85" s="3" t="str">
        <f t="shared" ca="1" si="61"/>
        <v/>
      </c>
      <c r="Y85" t="str">
        <f t="shared" si="62"/>
        <v/>
      </c>
      <c r="Z85" t="str">
        <f t="shared" si="63"/>
        <v/>
      </c>
      <c r="AA85" t="str">
        <f t="shared" ca="1" si="64"/>
        <v/>
      </c>
      <c r="AB85" t="str">
        <f t="shared" si="65"/>
        <v/>
      </c>
      <c r="AC85" s="3" t="str">
        <f t="shared" ca="1" si="66"/>
        <v/>
      </c>
      <c r="AD85" s="65">
        <f t="shared" si="67"/>
        <v>-1</v>
      </c>
      <c r="AE85" s="66" t="str">
        <f t="shared" si="68"/>
        <v/>
      </c>
      <c r="AF85" s="69" t="str">
        <f t="shared" si="69"/>
        <v/>
      </c>
      <c r="AG85" s="69" t="str">
        <f t="shared" si="70"/>
        <v/>
      </c>
      <c r="AH85" s="69" t="str">
        <f t="shared" si="71"/>
        <v/>
      </c>
      <c r="AI85" s="69" t="str">
        <f t="shared" si="72"/>
        <v/>
      </c>
      <c r="AJ85" s="68" t="str">
        <f t="shared" si="73"/>
        <v/>
      </c>
      <c r="AK85" s="69" t="str">
        <f t="shared" si="74"/>
        <v/>
      </c>
      <c r="AL85" s="69" t="str">
        <f t="shared" si="75"/>
        <v/>
      </c>
    </row>
  </sheetData>
  <mergeCells count="9">
    <mergeCell ref="C1:H2"/>
    <mergeCell ref="AE11:AL11"/>
    <mergeCell ref="AN11:AZ11"/>
    <mergeCell ref="AY5:AZ5"/>
    <mergeCell ref="AY6:AZ6"/>
    <mergeCell ref="AV6:AX6"/>
    <mergeCell ref="AY8:AZ8"/>
    <mergeCell ref="AV9:AX9"/>
    <mergeCell ref="AY9:AZ9"/>
  </mergeCells>
  <conditionalFormatting sqref="AE13:AL1048576">
    <cfRule type="expression" dxfId="81" priority="23" stopIfTrue="1">
      <formula>Row_ID=Income_Header_Row</formula>
    </cfRule>
    <cfRule type="expression" dxfId="80" priority="24" stopIfTrue="1">
      <formula>Row_ID=Expenses_Header_Row</formula>
    </cfRule>
    <cfRule type="expression" dxfId="79" priority="25" stopIfTrue="1">
      <formula>Row_ID=Savings_Header_Row</formula>
    </cfRule>
    <cfRule type="expression" dxfId="78" priority="26" stopIfTrue="1">
      <formula>IS_Total</formula>
    </cfRule>
  </conditionalFormatting>
  <conditionalFormatting sqref="AJ13:AJ1048576">
    <cfRule type="expression" dxfId="77" priority="27" stopIfTrue="1">
      <formula>AND(OR(IS_Cat, IS_Total), Out_Budget &gt; 0, Out_Percentage_Completed &gt;= 1, Header_Row_ID=Income_Header_Row)</formula>
    </cfRule>
    <cfRule type="expression" dxfId="76" priority="28" stopIfTrue="1">
      <formula>AND(OR(IS_Cat, IS_Total), Out_Budget &gt; 0, Out_Percentage_Completed &gt;= 1, Header_Row_ID=Expenses_Header_Row)</formula>
    </cfRule>
    <cfRule type="expression" dxfId="75" priority="29" stopIfTrue="1">
      <formula>AND(OR(IS_Cat, IS_Total), Out_Budget &gt; 0, Out_Percentage_Completed &gt;= 1, Header_Row_ID=Savings_Header_Row)</formula>
    </cfRule>
    <cfRule type="dataBar" priority="30">
      <dataBar>
        <cfvo type="num" val="0"/>
        <cfvo type="num" val="1"/>
        <color theme="0" tint="-0.14999847407452621"/>
      </dataBar>
      <extLst>
        <ext xmlns:x14="http://schemas.microsoft.com/office/spreadsheetml/2009/9/main" uri="{B025F937-C7B1-47D3-B67F-A62EFF666E3E}">
          <x14:id>{81041E18-2C30-481F-A1D3-9B1579741AB1}</x14:id>
        </ext>
      </extLst>
    </cfRule>
  </conditionalFormatting>
  <conditionalFormatting sqref="AP16">
    <cfRule type="expression" dxfId="74" priority="17">
      <formula>AQ16 &lt;&gt;""</formula>
    </cfRule>
  </conditionalFormatting>
  <conditionalFormatting sqref="AP17">
    <cfRule type="expression" dxfId="73" priority="18">
      <formula>AQ17 &lt;&gt;""</formula>
    </cfRule>
  </conditionalFormatting>
  <conditionalFormatting sqref="AP19">
    <cfRule type="expression" dxfId="72" priority="20">
      <formula>AQ19 &lt;&gt;""</formula>
    </cfRule>
  </conditionalFormatting>
  <conditionalFormatting sqref="AP20">
    <cfRule type="expression" dxfId="71" priority="21">
      <formula>AQ20 &lt;&gt;""</formula>
    </cfRule>
  </conditionalFormatting>
  <conditionalFormatting sqref="AP21">
    <cfRule type="expression" dxfId="70" priority="22">
      <formula>AQ21 &lt;&gt;""</formula>
    </cfRule>
  </conditionalFormatting>
  <conditionalFormatting sqref="AP18">
    <cfRule type="expression" dxfId="69" priority="19">
      <formula>AQ18 &lt;&gt;""</formula>
    </cfRule>
  </conditionalFormatting>
  <conditionalFormatting sqref="AP29">
    <cfRule type="expression" dxfId="68" priority="11">
      <formula>AQ29 &lt;&gt;""</formula>
    </cfRule>
  </conditionalFormatting>
  <conditionalFormatting sqref="AP30">
    <cfRule type="expression" dxfId="67" priority="12">
      <formula>AQ30 &lt;&gt;""</formula>
    </cfRule>
  </conditionalFormatting>
  <conditionalFormatting sqref="AP32">
    <cfRule type="expression" dxfId="66" priority="14">
      <formula>AQ32 &lt;&gt;""</formula>
    </cfRule>
  </conditionalFormatting>
  <conditionalFormatting sqref="AP33">
    <cfRule type="expression" dxfId="65" priority="15">
      <formula>AQ33 &lt;&gt;""</formula>
    </cfRule>
  </conditionalFormatting>
  <conditionalFormatting sqref="AP34">
    <cfRule type="expression" dxfId="64" priority="16">
      <formula>AQ34 &lt;&gt;""</formula>
    </cfRule>
  </conditionalFormatting>
  <conditionalFormatting sqref="AP31">
    <cfRule type="expression" dxfId="63" priority="13">
      <formula>AQ31 &lt;&gt;""</formula>
    </cfRule>
  </conditionalFormatting>
  <conditionalFormatting sqref="AW29">
    <cfRule type="expression" dxfId="62" priority="5">
      <formula>AX29 &lt;&gt;""</formula>
    </cfRule>
  </conditionalFormatting>
  <conditionalFormatting sqref="AW30">
    <cfRule type="expression" dxfId="61" priority="6">
      <formula>AX30 &lt;&gt;""</formula>
    </cfRule>
  </conditionalFormatting>
  <conditionalFormatting sqref="AW32">
    <cfRule type="expression" dxfId="60" priority="8">
      <formula>AX32 &lt;&gt;""</formula>
    </cfRule>
  </conditionalFormatting>
  <conditionalFormatting sqref="AW33">
    <cfRule type="expression" dxfId="59" priority="9">
      <formula>AX33 &lt;&gt;""</formula>
    </cfRule>
  </conditionalFormatting>
  <conditionalFormatting sqref="AW34">
    <cfRule type="expression" dxfId="58" priority="10">
      <formula>AX34 &lt;&gt;""</formula>
    </cfRule>
  </conditionalFormatting>
  <conditionalFormatting sqref="AW31">
    <cfRule type="expression" dxfId="57" priority="7">
      <formula>AX31 &lt;&gt;""</formula>
    </cfRule>
  </conditionalFormatting>
  <pageMargins left="0.7" right="0.7" top="0.75" bottom="0.75" header="0.3" footer="0.3"/>
  <pageSetup paperSize="9" scal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Income Check Box">
              <controlPr defaultSize="0" autoFill="0" autoLine="0" autoPict="0">
                <anchor moveWithCells="1">
                  <from>
                    <xdr:col>50</xdr:col>
                    <xdr:colOff>304800</xdr:colOff>
                    <xdr:row>12</xdr:row>
                    <xdr:rowOff>142875</xdr:rowOff>
                  </from>
                  <to>
                    <xdr:col>50</xdr:col>
                    <xdr:colOff>990600</xdr:colOff>
                    <xdr:row>13</xdr:row>
                    <xdr:rowOff>95250</xdr:rowOff>
                  </to>
                </anchor>
              </controlPr>
            </control>
          </mc:Choice>
        </mc:AlternateContent>
        <mc:AlternateContent xmlns:mc="http://schemas.openxmlformats.org/markup-compatibility/2006">
          <mc:Choice Requires="x14">
            <control shapeId="7171" r:id="rId5" name="Expenses Check Box">
              <controlPr defaultSize="0" autoFill="0" autoLine="0" autoPict="0">
                <anchor moveWithCells="1">
                  <from>
                    <xdr:col>50</xdr:col>
                    <xdr:colOff>304800</xdr:colOff>
                    <xdr:row>13</xdr:row>
                    <xdr:rowOff>152400</xdr:rowOff>
                  </from>
                  <to>
                    <xdr:col>50</xdr:col>
                    <xdr:colOff>990600</xdr:colOff>
                    <xdr:row>14</xdr:row>
                    <xdr:rowOff>104775</xdr:rowOff>
                  </to>
                </anchor>
              </controlPr>
            </control>
          </mc:Choice>
        </mc:AlternateContent>
        <mc:AlternateContent xmlns:mc="http://schemas.openxmlformats.org/markup-compatibility/2006">
          <mc:Choice Requires="x14">
            <control shapeId="7172" r:id="rId6" name="Savings Check Box">
              <controlPr defaultSize="0" autoFill="0" autoLine="0" autoPict="0">
                <anchor moveWithCells="1">
                  <from>
                    <xdr:col>50</xdr:col>
                    <xdr:colOff>1000125</xdr:colOff>
                    <xdr:row>12</xdr:row>
                    <xdr:rowOff>142875</xdr:rowOff>
                  </from>
                  <to>
                    <xdr:col>51</xdr:col>
                    <xdr:colOff>333375</xdr:colOff>
                    <xdr:row>13</xdr:row>
                    <xdr:rowOff>95250</xdr:rowOff>
                  </to>
                </anchor>
              </controlPr>
            </control>
          </mc:Choice>
        </mc:AlternateContent>
        <mc:AlternateContent xmlns:mc="http://schemas.openxmlformats.org/markup-compatibility/2006">
          <mc:Choice Requires="x14">
            <control shapeId="7173" r:id="rId7" name="Budget Check Box">
              <controlPr defaultSize="0" autoFill="0" autoLine="0" autoPict="0">
                <anchor moveWithCells="1">
                  <from>
                    <xdr:col>50</xdr:col>
                    <xdr:colOff>1000125</xdr:colOff>
                    <xdr:row>13</xdr:row>
                    <xdr:rowOff>152400</xdr:rowOff>
                  </from>
                  <to>
                    <xdr:col>51</xdr:col>
                    <xdr:colOff>333375</xdr:colOff>
                    <xdr:row>14</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1041E18-2C30-481F-A1D3-9B1579741AB1}">
            <x14:dataBar minLength="0" maxLength="100" gradient="0">
              <x14:cfvo type="num">
                <xm:f>0</xm:f>
              </x14:cfvo>
              <x14:cfvo type="num">
                <xm:f>1</xm:f>
              </x14:cfvo>
              <x14:negativeFillColor rgb="FFFF0000"/>
              <x14:axisColor rgb="FF000000"/>
            </x14:dataBar>
          </x14:cfRule>
          <xm:sqref>AJ13:AJ1048576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30454F6-235D-479C-9063-00736AD25206}">
          <x14:formula1>
            <xm:f>'Dropdown Data'!$C$5:$C$15</xm:f>
          </x14:formula1>
          <xm:sqref>AY6:AZ6</xm:sqref>
        </x14:dataValidation>
        <x14:dataValidation type="list" allowBlank="1" showInputMessage="1" showErrorMessage="1" xr:uid="{5A34ED47-7924-4201-860A-962F6D25533A}">
          <x14:formula1>
            <xm:f>'Dropdown Data'!$E$5:$E$18</xm:f>
          </x14:formula1>
          <xm:sqref>AY9:AZ9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F626F-7B4A-40CD-BE4C-7FD632D8B5C7}">
  <sheetPr codeName="Sheet6">
    <pageSetUpPr fitToPage="1"/>
  </sheetPr>
  <dimension ref="C1:AA106"/>
  <sheetViews>
    <sheetView showGridLines="0" workbookViewId="0">
      <selection activeCell="E33" sqref="E33"/>
    </sheetView>
  </sheetViews>
  <sheetFormatPr defaultRowHeight="15" x14ac:dyDescent="0.25"/>
  <cols>
    <col min="1" max="2" width="7" customWidth="1"/>
    <col min="3" max="3" width="2.85546875" customWidth="1"/>
    <col min="4" max="5" width="35.7109375" customWidth="1"/>
    <col min="6" max="6" width="15" bestFit="1" customWidth="1"/>
    <col min="7" max="7" width="15.7109375" bestFit="1" customWidth="1"/>
    <col min="8" max="8" width="22.85546875" customWidth="1"/>
    <col min="9" max="9" width="40" customWidth="1"/>
    <col min="10" max="10" width="35.7109375" customWidth="1"/>
    <col min="11" max="12" width="11.42578125" customWidth="1"/>
    <col min="13" max="13" width="30.7109375" customWidth="1"/>
    <col min="14" max="15" width="17.140625" customWidth="1"/>
    <col min="16" max="16" width="30.7109375" customWidth="1"/>
    <col min="17" max="18" width="17.140625" customWidth="1"/>
    <col min="19" max="20" width="11.42578125" customWidth="1"/>
  </cols>
  <sheetData>
    <row r="1" spans="3:27" s="45" customFormat="1" ht="15" customHeight="1" x14ac:dyDescent="0.25">
      <c r="C1" s="122" t="str" cm="1">
        <f t="array" aca="1" ref="C1" ca="1">MID(CELL("filename", C7), FIND("]", CELL("filename", C7)) + 1, 255)</f>
        <v>Calculations</v>
      </c>
      <c r="D1" s="122"/>
      <c r="E1" s="122"/>
      <c r="F1" s="122"/>
      <c r="G1" s="122"/>
      <c r="H1" s="122"/>
      <c r="I1" s="122"/>
      <c r="J1" s="122"/>
      <c r="K1" s="122"/>
      <c r="L1" s="122"/>
      <c r="M1" s="122"/>
      <c r="N1" s="122"/>
      <c r="O1" s="122"/>
      <c r="P1" s="122"/>
      <c r="Q1" s="122"/>
      <c r="R1" s="122"/>
      <c r="S1" s="122"/>
      <c r="T1" s="122"/>
      <c r="U1" s="122"/>
      <c r="V1" s="122"/>
      <c r="W1" s="122"/>
      <c r="X1" s="122"/>
      <c r="Y1" s="122"/>
      <c r="Z1" s="122"/>
      <c r="AA1" s="122"/>
    </row>
    <row r="2" spans="3:27" s="45" customFormat="1" ht="15" customHeight="1" x14ac:dyDescent="0.25">
      <c r="C2" s="122"/>
      <c r="D2" s="122"/>
      <c r="E2" s="122"/>
      <c r="F2" s="122"/>
      <c r="G2" s="122"/>
      <c r="H2" s="122"/>
      <c r="I2" s="122"/>
      <c r="J2" s="122"/>
      <c r="K2" s="122"/>
      <c r="L2" s="122"/>
      <c r="M2" s="122"/>
      <c r="N2" s="122"/>
      <c r="O2" s="122"/>
      <c r="P2" s="122"/>
      <c r="Q2" s="122"/>
      <c r="R2" s="122"/>
      <c r="S2" s="122"/>
      <c r="T2" s="122"/>
      <c r="U2" s="122"/>
      <c r="V2" s="122"/>
      <c r="W2" s="122"/>
      <c r="X2" s="122"/>
      <c r="Y2" s="122"/>
      <c r="Z2" s="122"/>
      <c r="AA2" s="122"/>
    </row>
    <row r="6" spans="3:27" x14ac:dyDescent="0.25">
      <c r="C6" s="123" t="s">
        <v>152</v>
      </c>
      <c r="D6" s="123"/>
      <c r="E6" s="123"/>
      <c r="F6" s="123"/>
    </row>
    <row r="8" spans="3:27" x14ac:dyDescent="0.25">
      <c r="D8" s="7" t="s">
        <v>153</v>
      </c>
      <c r="E8" s="46" cm="1">
        <f t="array" aca="1" ref="E8" ca="1">Current_Date</f>
        <v>46041</v>
      </c>
    </row>
    <row r="9" spans="3:27" x14ac:dyDescent="0.25">
      <c r="D9" s="7" t="s">
        <v>154</v>
      </c>
      <c r="E9" s="46">
        <f>MAX(Tracking[Date])</f>
        <v>46041</v>
      </c>
    </row>
    <row r="10" spans="3:27" x14ac:dyDescent="0.25">
      <c r="D10" s="7" t="s">
        <v>155</v>
      </c>
      <c r="E10" t="str">
        <f ca="1">IF(E9=0,"","("&amp; _xlfn.DAYS(E8,E9)&amp;" Days ago)")</f>
        <v>(0 Days ago)</v>
      </c>
    </row>
    <row r="11" spans="3:27" x14ac:dyDescent="0.25">
      <c r="D11" s="7" t="s">
        <v>156</v>
      </c>
      <c r="E11">
        <f>COUNT(Tracking[Date])</f>
        <v>122</v>
      </c>
    </row>
    <row r="12" spans="3:27" x14ac:dyDescent="0.25">
      <c r="D12" s="7" t="s">
        <v>157</v>
      </c>
      <c r="E12" t="str" cm="1">
        <f t="array" aca="1" ref="E12" ca="1">"(" &amp; SUMPRODUCT(--(YEAR(Tracking[Date])=YEAR(Current_Date))) &amp; " This year)"</f>
        <v>(36 This year)</v>
      </c>
    </row>
    <row r="13" spans="3:27" x14ac:dyDescent="0.25">
      <c r="D13" s="7" t="s">
        <v>158</v>
      </c>
      <c r="E13" s="49">
        <f>_xlfn.IFNA(INDEX(Tracking[Balance $], MATCH(Calculations!E9, Tracking[Date],0)), "-")</f>
        <v>762</v>
      </c>
    </row>
    <row r="14" spans="3:27" x14ac:dyDescent="0.25">
      <c r="D14" s="7" t="s">
        <v>159</v>
      </c>
      <c r="E14" s="49">
        <f>_xlfn.IFNA(INDEX(Tracking[Balance LBP], MATCH(Calculations!E9, Tracking[Date],0)), "-")</f>
        <v>25000</v>
      </c>
    </row>
    <row r="15" spans="3:27" x14ac:dyDescent="0.25">
      <c r="D15" s="7" t="s">
        <v>160</v>
      </c>
      <c r="E15" s="49">
        <f>_xlfn.IFNA(INDEX(Tracking[Balance €], MATCH(Calculations!E9, Tracking[Date],0)), "-")</f>
        <v>6204.07</v>
      </c>
    </row>
    <row r="16" spans="3:27" x14ac:dyDescent="0.25">
      <c r="D16" s="7" t="s">
        <v>161</v>
      </c>
      <c r="E16" t="str">
        <f>IF(E13&gt;=0, "of tracked income left to be allocated", "allocated not covered by income")</f>
        <v>of tracked income left to be allocated</v>
      </c>
    </row>
    <row r="17" spans="3:8" x14ac:dyDescent="0.25">
      <c r="D17" s="7" t="s">
        <v>162</v>
      </c>
      <c r="E17" t="str">
        <f t="shared" ref="E17:E18" si="0">IF(E14&gt;=0, "of tracked income left to be allocated", "allocated not covered by income")</f>
        <v>of tracked income left to be allocated</v>
      </c>
    </row>
    <row r="18" spans="3:8" x14ac:dyDescent="0.25">
      <c r="D18" s="7" t="s">
        <v>163</v>
      </c>
      <c r="E18" t="str">
        <f t="shared" si="0"/>
        <v>of tracked income left to be allocated</v>
      </c>
    </row>
    <row r="21" spans="3:8" x14ac:dyDescent="0.25">
      <c r="C21" s="123" t="s">
        <v>164</v>
      </c>
      <c r="D21" s="123"/>
      <c r="E21" s="123"/>
      <c r="F21" s="123"/>
    </row>
    <row r="23" spans="3:8" x14ac:dyDescent="0.25">
      <c r="D23" s="7" t="s">
        <v>165</v>
      </c>
      <c r="E23" cm="1">
        <f t="array" aca="1" ref="E23" ca="1">IF('Budget Dashboard'!$AY$6="Current Year",YEAR(Current_Date), 'Budget Dashboard'!$AY$6)</f>
        <v>2026</v>
      </c>
    </row>
    <row r="24" spans="3:8" x14ac:dyDescent="0.25">
      <c r="D24" s="99" t="s">
        <v>166</v>
      </c>
      <c r="E24" s="98" cm="1">
        <f t="array" aca="1" ref="E24" ca="1">IF('Budget Dashboard'!$AY$9="Total Year","Total Year",
IF('Budget Dashboard'!$AY$9="Current Month", MONTH(Current_Date),
MONTH('Budget Dashboard'!$AY$9)))</f>
        <v>1</v>
      </c>
    </row>
    <row r="25" spans="3:8" x14ac:dyDescent="0.25">
      <c r="D25" s="7" t="s">
        <v>167</v>
      </c>
      <c r="E25" s="56" t="str">
        <f ca="1">IF(Selected_Period="Total Year","Total Year",
TEXT(DATE(Selected_Year,Selected_Period,1),"mmmm"))</f>
        <v>January</v>
      </c>
    </row>
    <row r="26" spans="3:8" x14ac:dyDescent="0.25">
      <c r="D26" s="7" t="s">
        <v>168</v>
      </c>
      <c r="E26">
        <f ca="1">IF(Selected_Period = "Total Year", DATE(Selected_Year, 12, 31) - DATE(Selected_Year-1, 12, 31), DAY(EOMONTH(DATE(Selected_Year, Selected_Period, 1), 0)))</f>
        <v>31</v>
      </c>
      <c r="H26" t="s">
        <v>169</v>
      </c>
    </row>
    <row r="27" spans="3:8" x14ac:dyDescent="0.25">
      <c r="D27" s="7" t="s">
        <v>170</v>
      </c>
      <c r="E27" cm="1">
        <f t="array" aca="1" ref="E27" ca="1">IF(Selected_Year=YEAR(Current_Date),
  IF(Selected_Period="Total Year", Current_Date-DATE(Selected_Year-1, 12, 31),
   IF(Selected_Period=MONTH(Current_Date), DAY(Current_Date),
    IF(Selected_Period&lt;MONTH(Current_Date), E22, 0))),
  IF(Selected_Year&lt;YEAR(Current_Date), E22, 0))</f>
        <v>19</v>
      </c>
      <c r="H27" t="s">
        <v>171</v>
      </c>
    </row>
    <row r="28" spans="3:8" x14ac:dyDescent="0.25">
      <c r="D28" s="7" t="s">
        <v>172</v>
      </c>
      <c r="E28" s="100">
        <f ca="1">E27/E26</f>
        <v>0.61290322580645162</v>
      </c>
    </row>
    <row r="29" spans="3:8" x14ac:dyDescent="0.25">
      <c r="D29" s="7" t="s">
        <v>173</v>
      </c>
      <c r="E29" s="101">
        <f ca="1">F45-(L45+R45)</f>
        <v>-566.5</v>
      </c>
    </row>
    <row r="30" spans="3:8" x14ac:dyDescent="0.25">
      <c r="D30" s="7" t="s">
        <v>161</v>
      </c>
      <c r="E30" t="str">
        <f ca="1">IF(E29&gt;=0, "of tracked income left to be allocated", "allocated not covered by income")</f>
        <v>allocated not covered by income</v>
      </c>
    </row>
    <row r="31" spans="3:8" x14ac:dyDescent="0.25">
      <c r="D31" s="7" t="s">
        <v>174</v>
      </c>
      <c r="E31" s="100" t="e">
        <f ca="1">-IFERROR(IF(Savings_Rate_Calculation_Type = "% allocated to Savings", R45/F45, (F45-L45)/F45),"-")</f>
        <v>#VALUE!</v>
      </c>
    </row>
    <row r="36" spans="4:20" x14ac:dyDescent="0.25">
      <c r="D36" s="74" t="s">
        <v>175</v>
      </c>
      <c r="E36" s="73"/>
      <c r="F36" s="73"/>
      <c r="G36" s="73"/>
      <c r="H36" s="73"/>
      <c r="I36" s="73"/>
      <c r="J36" s="73"/>
      <c r="K36" s="73"/>
      <c r="L36" s="73"/>
      <c r="M36" s="73"/>
      <c r="N36" s="73"/>
    </row>
    <row r="38" spans="4:20" x14ac:dyDescent="0.25">
      <c r="D38" s="75" t="s">
        <v>20</v>
      </c>
      <c r="E38" s="75" t="s">
        <v>56</v>
      </c>
      <c r="F38" s="75" t="s">
        <v>58</v>
      </c>
      <c r="G38" s="75" t="s">
        <v>59</v>
      </c>
      <c r="H38" s="75" t="s">
        <v>60</v>
      </c>
      <c r="J38" s="75" t="s">
        <v>27</v>
      </c>
      <c r="K38" s="75" t="s">
        <v>56</v>
      </c>
      <c r="L38" s="75" t="s">
        <v>58</v>
      </c>
      <c r="M38" s="75" t="s">
        <v>59</v>
      </c>
      <c r="N38" s="75" t="s">
        <v>60</v>
      </c>
      <c r="P38" s="75" t="s">
        <v>50</v>
      </c>
      <c r="Q38" s="75" t="s">
        <v>56</v>
      </c>
      <c r="R38" s="75" t="s">
        <v>58</v>
      </c>
      <c r="S38" s="75" t="s">
        <v>59</v>
      </c>
      <c r="T38" s="75" t="s">
        <v>60</v>
      </c>
    </row>
    <row r="39" spans="4:20" x14ac:dyDescent="0.25">
      <c r="D39" s="61">
        <v>1</v>
      </c>
      <c r="E39" s="61" t="str" cm="1">
        <f t="array" aca="1" ref="E39" ca="1">IF(AND(F39="",G39="",H39=""),"",INDEX('Budget Dashboard'!$J:$J,MATCH(Income_Header_Row+Calculations!D39,'Budget Dashboard'!$AD:$AD,0)))</f>
        <v/>
      </c>
      <c r="F39" s="78" t="str" cm="1">
        <f t="array" aca="1" ref="F39" ca="1">IF(D39&gt;COUNTA(Income[]),"",
  IF(INDEX('Budget Dashboard'!$K:$K, MATCH(Income_Header_Row + Calculations!D39,'Budget Dashboard'!$AD:$AD, 0)) = 0, "",
   INDEX('Budget Dashboard'!$K:$K, MATCH(Income_Header_Row + Calculations!D39,'Budget Dashboard'!$AD:$AD, 0))))</f>
        <v/>
      </c>
      <c r="G39" s="78" t="str" cm="1">
        <f t="array" aca="1" ref="G39" ca="1">IF(D39&gt;COUNTA(Income[]),"",
  IF(INDEX('Budget Dashboard'!$L:$L, MATCH(Income_Header_Row + Calculations!D39,'Budget Dashboard'!$AD:$AD, 0)) = 0, "",
   INDEX('Budget Dashboard'!$L:$L, MATCH(Income_Header_Row + Calculations!D39,'Budget Dashboard'!$AD:$AD, 0))))</f>
        <v/>
      </c>
      <c r="H39" s="78" t="str" cm="1">
        <f t="array" aca="1" ref="H39" ca="1">IF(D39&gt;COUNTA(Income[]),"",
  IF(INDEX('Budget Dashboard'!$M:$M, MATCH(Income_Header_Row + Calculations!D39,'Budget Dashboard'!$AD:$AD, 0)) = 0, "",
   INDEX('Budget Dashboard'!$M:$M, MATCH(Income_Header_Row + Calculations!D39,'Budget Dashboard'!$AD:$AD, 0))))</f>
        <v/>
      </c>
      <c r="J39" s="61">
        <v>1</v>
      </c>
      <c r="K39" s="61" t="str" cm="1">
        <f t="array" aca="1" ref="K39" ca="1">IF(AND(L39="",M39="",N39=""),"",INDEX('Budget Dashboard'!$J:$J,MATCH(Expenses_Header_Row + Calculations!J39,'Budget Dashboard'!$AD:$AD,0)))</f>
        <v>Health</v>
      </c>
      <c r="L39" s="78" cm="1">
        <f t="array" aca="1" ref="L39" ca="1">IF(J39&gt;COUNTA(Expenses[]),"",
  IF(INDEX('Budget Dashboard'!$K:$K, MATCH(Expenses_Header_Row + Calculations!J39,'Budget Dashboard'!$AD:$AD, 0)) = 0, "",
   INDEX('Budget Dashboard'!$K:$K, MATCH(Expenses_Header_Row + Calculations!J39,'Budget Dashboard'!$AD:$AD, 0))))</f>
        <v>248</v>
      </c>
      <c r="M39" s="78" cm="1">
        <f t="array" aca="1" ref="M39" ca="1">IF(J39&gt;COUNTA(Expenses[]),"",
  IF(INDEX('Budget Dashboard'!$L:$L, MATCH(Expenses_Header_Row + Calculations!J39,'Budget Dashboard'!$AD:$AD, 0)) = 0, "",
   INDEX('Budget Dashboard'!$L:$L, MATCH(Expenses_Header_Row + Calculations!J39,'Budget Dashboard'!$AD:$AD, 0))))</f>
        <v>540000</v>
      </c>
      <c r="N39" s="78" t="str" cm="1">
        <f t="array" aca="1" ref="N39" ca="1">IF(J39&gt;COUNTA(Expenses[]),"",
  IF(INDEX('Budget Dashboard'!$M:$M, MATCH(Expenses_Header_Row + Calculations!J39,'Budget Dashboard'!$AD:$AD, 0)) = 0, "",
   INDEX('Budget Dashboard'!$M:$M, MATCH(Expenses_Header_Row + Calculations!J39,'Budget Dashboard'!$AD:$AD, 0))))</f>
        <v/>
      </c>
      <c r="P39" s="61">
        <v>1</v>
      </c>
      <c r="Q39" s="61" t="str" cm="1">
        <f t="array" aca="1" ref="Q39" ca="1">IF(AND(R39="",S39="",T39=""),"",INDEX('Budget Dashboard'!$J:$J,MATCH(Savings_Header_Row + Calculations!P39,'Budget Dashboard'!$AD:$AD,0)))</f>
        <v/>
      </c>
      <c r="R39" s="78" t="str" cm="1">
        <f t="array" aca="1" ref="R39" ca="1">IF(P39&gt;COUNTA(Savings[]),"",
  IF(INDEX('Budget Dashboard'!$K:$K, MATCH(Savings_Header_Row + Calculations!P39,'Budget Dashboard'!$AD:$AD, 0)) = 0, "",
   INDEX('Budget Dashboard'!$K:$K, MATCH(Savings_Header_Row + Calculations!P39,'Budget Dashboard'!$AD:$AD, 0))))</f>
        <v/>
      </c>
      <c r="S39" s="78" t="str" cm="1">
        <f t="array" aca="1" ref="S39" ca="1">IF(P39&gt;COUNTA(Savings[]),"",
  IF(INDEX('Budget Dashboard'!$L:$L, MATCH(Savings_Header_Row + Calculations!P39,'Budget Dashboard'!$AD:$AD, 0)) = 0, "",
   INDEX('Budget Dashboard'!$L:$L, MATCH(Savings_Header_Row + Calculations!P39,'Budget Dashboard'!$AD:$AD, 0))))</f>
        <v/>
      </c>
      <c r="T39" s="78" t="str" cm="1">
        <f t="array" aca="1" ref="T39" ca="1">IF(P39&gt;COUNTA(Savings[]),"",
  IF(INDEX('Budget Dashboard'!$M:$M, MATCH(Savings_Header_Row + Calculations!P39,'Budget Dashboard'!$AD:$AD, 0)) = 0, "",
   INDEX('Budget Dashboard'!$M:$M, MATCH(Savings_Header_Row + Calculations!P39,'Budget Dashboard'!$AD:$AD, 0))))</f>
        <v/>
      </c>
    </row>
    <row r="40" spans="4:20" x14ac:dyDescent="0.25">
      <c r="D40" s="61">
        <v>2</v>
      </c>
      <c r="E40" s="61" t="str" cm="1">
        <f t="array" aca="1" ref="E40" ca="1">IF(AND(F40="",G40="",H40=""),"",INDEX('Budget Dashboard'!$J:$J,MATCH(Income_Header_Row+Calculations!D40,'Budget Dashboard'!$AD:$AD,0)))</f>
        <v/>
      </c>
      <c r="F40" s="78" t="str" cm="1">
        <f t="array" aca="1" ref="F40" ca="1">IF(D40&gt;COUNTA(Income[]),"",
  IF(INDEX('Budget Dashboard'!$K:$K, MATCH(Income_Header_Row + Calculations!D40,'Budget Dashboard'!$AD:$AD, 0)) = 0, "",
   INDEX('Budget Dashboard'!$K:$K, MATCH(Income_Header_Row + Calculations!D40,'Budget Dashboard'!$AD:$AD, 0))))</f>
        <v/>
      </c>
      <c r="G40" s="78" t="str" cm="1">
        <f t="array" aca="1" ref="G40" ca="1">IF(D40&gt;COUNTA(Income[]),"",
  IF(INDEX('Budget Dashboard'!$L:$L, MATCH(Income_Header_Row + Calculations!D40,'Budget Dashboard'!$AD:$AD, 0)) = 0, "",
   INDEX('Budget Dashboard'!$L:$L, MATCH(Income_Header_Row + Calculations!D40,'Budget Dashboard'!$AD:$AD, 0))))</f>
        <v/>
      </c>
      <c r="H40" s="78" t="str" cm="1">
        <f t="array" aca="1" ref="H40" ca="1">IF(D40&gt;COUNTA(Income[]),"",
  IF(INDEX('Budget Dashboard'!$M:$M, MATCH(Income_Header_Row + Calculations!D40,'Budget Dashboard'!$AD:$AD, 0)) = 0, "",
   INDEX('Budget Dashboard'!$M:$M, MATCH(Income_Header_Row + Calculations!D40,'Budget Dashboard'!$AD:$AD, 0))))</f>
        <v/>
      </c>
      <c r="J40" s="61">
        <v>2</v>
      </c>
      <c r="K40" s="61" t="str" cm="1">
        <f t="array" aca="1" ref="K40" ca="1">IF(AND(L40="",M40="",N40=""),"",INDEX('Budget Dashboard'!$J:$J,MATCH(Expenses_Header_Row + Calculations!J40,'Budget Dashboard'!$AD:$AD,0)))</f>
        <v>Groceries</v>
      </c>
      <c r="L40" s="78" cm="1">
        <f t="array" aca="1" ref="L40" ca="1">IF(J40&gt;COUNTA(Expenses[]),"",
  IF(INDEX('Budget Dashboard'!$K:$K, MATCH(Expenses_Header_Row + Calculations!J40,'Budget Dashboard'!$AD:$AD, 0)) = 0, "",
   INDEX('Budget Dashboard'!$K:$K, MATCH(Expenses_Header_Row + Calculations!J40,'Budget Dashboard'!$AD:$AD, 0))))</f>
        <v>88.5</v>
      </c>
      <c r="M40" s="78" cm="1">
        <f t="array" aca="1" ref="M40" ca="1">IF(J40&gt;COUNTA(Expenses[]),"",
  IF(INDEX('Budget Dashboard'!$L:$L, MATCH(Expenses_Header_Row + Calculations!J40,'Budget Dashboard'!$AD:$AD, 0)) = 0, "",
   INDEX('Budget Dashboard'!$L:$L, MATCH(Expenses_Header_Row + Calculations!J40,'Budget Dashboard'!$AD:$AD, 0))))</f>
        <v>-70000</v>
      </c>
      <c r="N40" s="78" t="str" cm="1">
        <f t="array" aca="1" ref="N40" ca="1">IF(J40&gt;COUNTA(Expenses[]),"",
  IF(INDEX('Budget Dashboard'!$M:$M, MATCH(Expenses_Header_Row + Calculations!J40,'Budget Dashboard'!$AD:$AD, 0)) = 0, "",
   INDEX('Budget Dashboard'!$M:$M, MATCH(Expenses_Header_Row + Calculations!J40,'Budget Dashboard'!$AD:$AD, 0))))</f>
        <v/>
      </c>
      <c r="P40" s="61">
        <v>2</v>
      </c>
      <c r="Q40" s="61" t="str" cm="1">
        <f t="array" ref="Q40">IF(AND(R40="",S40="",T40=""),"",INDEX('Budget Dashboard'!$J:$J,MATCH(Savings_Header_Row + Calculations!P40,'Budget Dashboard'!$AD:$AD,0)))</f>
        <v/>
      </c>
      <c r="R40" s="78" t="str" cm="1">
        <f t="array" ref="R40">IF(P40&gt;COUNTA(Savings[]),"",
  IF(INDEX('Budget Dashboard'!$K:$K, MATCH(Savings_Header_Row + Calculations!P40,'Budget Dashboard'!$AD:$AD, 0)) = 0, "",
   INDEX('Budget Dashboard'!$K:$K, MATCH(Savings_Header_Row + Calculations!P40,'Budget Dashboard'!$AD:$AD, 0))))</f>
        <v/>
      </c>
      <c r="S40" s="78" t="str" cm="1">
        <f t="array" ref="S40">IF(P40&gt;COUNTA(Savings[]),"",
  IF(INDEX('Budget Dashboard'!$L:$L, MATCH(Savings_Header_Row + Calculations!P40,'Budget Dashboard'!$AD:$AD, 0)) = 0, "",
   INDEX('Budget Dashboard'!$L:$L, MATCH(Savings_Header_Row + Calculations!P40,'Budget Dashboard'!$AD:$AD, 0))))</f>
        <v/>
      </c>
      <c r="T40" s="78" t="str" cm="1">
        <f t="array" ref="T40">IF(P40&gt;COUNTA(Savings[]),"",
  IF(INDEX('Budget Dashboard'!$M:$M, MATCH(Savings_Header_Row + Calculations!P40,'Budget Dashboard'!$AD:$AD, 0)) = 0, "",
   INDEX('Budget Dashboard'!$M:$M, MATCH(Savings_Header_Row + Calculations!P40,'Budget Dashboard'!$AD:$AD, 0))))</f>
        <v/>
      </c>
    </row>
    <row r="41" spans="4:20" x14ac:dyDescent="0.25">
      <c r="D41" s="61">
        <v>3</v>
      </c>
      <c r="E41" s="61" t="str" cm="1">
        <f t="array" aca="1" ref="E41" ca="1">IF(AND(F41="",G41="",H41=""),"",INDEX('Budget Dashboard'!$J:$J,MATCH(Income_Header_Row+Calculations!D41,'Budget Dashboard'!$AD:$AD,0)))</f>
        <v/>
      </c>
      <c r="F41" s="78" t="str" cm="1">
        <f t="array" aca="1" ref="F41" ca="1">IF(D41&gt;COUNTA(Income[]),"",
  IF(INDEX('Budget Dashboard'!$K:$K, MATCH(Income_Header_Row + Calculations!D41,'Budget Dashboard'!$AD:$AD, 0)) = 0, "",
   INDEX('Budget Dashboard'!$K:$K, MATCH(Income_Header_Row + Calculations!D41,'Budget Dashboard'!$AD:$AD, 0))))</f>
        <v/>
      </c>
      <c r="G41" s="78" t="str" cm="1">
        <f t="array" aca="1" ref="G41" ca="1">IF(D41&gt;COUNTA(Income[]),"",
  IF(INDEX('Budget Dashboard'!$L:$L, MATCH(Income_Header_Row + Calculations!D41,'Budget Dashboard'!$AD:$AD, 0)) = 0, "",
   INDEX('Budget Dashboard'!$L:$L, MATCH(Income_Header_Row + Calculations!D41,'Budget Dashboard'!$AD:$AD, 0))))</f>
        <v/>
      </c>
      <c r="H41" s="78" t="str" cm="1">
        <f t="array" aca="1" ref="H41" ca="1">IF(D41&gt;COUNTA(Income[]),"",
  IF(INDEX('Budget Dashboard'!$M:$M, MATCH(Income_Header_Row + Calculations!D41,'Budget Dashboard'!$AD:$AD, 0)) = 0, "",
   INDEX('Budget Dashboard'!$M:$M, MATCH(Income_Header_Row + Calculations!D41,'Budget Dashboard'!$AD:$AD, 0))))</f>
        <v/>
      </c>
      <c r="J41" s="61">
        <v>3</v>
      </c>
      <c r="K41" s="61" t="str" cm="1">
        <f t="array" aca="1" ref="K41" ca="1">IF(AND(L41="",M41="",N41=""),"",INDEX('Budget Dashboard'!$J:$J,MATCH(Expenses_Header_Row + Calculations!J41,'Budget Dashboard'!$AD:$AD,0)))</f>
        <v>Car_Maintenance_Mazda</v>
      </c>
      <c r="L41" s="78" cm="1">
        <f t="array" aca="1" ref="L41" ca="1">IF(J41&gt;COUNTA(Expenses[]),"",
  IF(INDEX('Budget Dashboard'!$K:$K, MATCH(Expenses_Header_Row + Calculations!J41,'Budget Dashboard'!$AD:$AD, 0)) = 0, "",
   INDEX('Budget Dashboard'!$K:$K, MATCH(Expenses_Header_Row + Calculations!J41,'Budget Dashboard'!$AD:$AD, 0))))</f>
        <v>87</v>
      </c>
      <c r="M41" s="78" t="str" cm="1">
        <f t="array" aca="1" ref="M41" ca="1">IF(J41&gt;COUNTA(Expenses[]),"",
  IF(INDEX('Budget Dashboard'!$L:$L, MATCH(Expenses_Header_Row + Calculations!J41,'Budget Dashboard'!$AD:$AD, 0)) = 0, "",
   INDEX('Budget Dashboard'!$L:$L, MATCH(Expenses_Header_Row + Calculations!J41,'Budget Dashboard'!$AD:$AD, 0))))</f>
        <v/>
      </c>
      <c r="N41" s="78" t="str" cm="1">
        <f t="array" aca="1" ref="N41" ca="1">IF(J41&gt;COUNTA(Expenses[]),"",
  IF(INDEX('Budget Dashboard'!$M:$M, MATCH(Expenses_Header_Row + Calculations!J41,'Budget Dashboard'!$AD:$AD, 0)) = 0, "",
   INDEX('Budget Dashboard'!$M:$M, MATCH(Expenses_Header_Row + Calculations!J41,'Budget Dashboard'!$AD:$AD, 0))))</f>
        <v/>
      </c>
      <c r="P41" s="61">
        <v>3</v>
      </c>
      <c r="Q41" s="61" t="str" cm="1">
        <f t="array" ref="Q41">IF(AND(R41="",S41="",T41=""),"",INDEX('Budget Dashboard'!$J:$J,MATCH(Savings_Header_Row + Calculations!P41,'Budget Dashboard'!$AD:$AD,0)))</f>
        <v/>
      </c>
      <c r="R41" s="78" t="str" cm="1">
        <f t="array" ref="R41">IF(P41&gt;COUNTA(Savings[]),"",
  IF(INDEX('Budget Dashboard'!$K:$K, MATCH(Savings_Header_Row + Calculations!P41,'Budget Dashboard'!$AD:$AD, 0)) = 0, "",
   INDEX('Budget Dashboard'!$K:$K, MATCH(Savings_Header_Row + Calculations!P41,'Budget Dashboard'!$AD:$AD, 0))))</f>
        <v/>
      </c>
      <c r="S41" s="78" t="str" cm="1">
        <f t="array" ref="S41">IF(P41&gt;COUNTA(Savings[]),"",
  IF(INDEX('Budget Dashboard'!$L:$L, MATCH(Savings_Header_Row + Calculations!P41,'Budget Dashboard'!$AD:$AD, 0)) = 0, "",
   INDEX('Budget Dashboard'!$L:$L, MATCH(Savings_Header_Row + Calculations!P41,'Budget Dashboard'!$AD:$AD, 0))))</f>
        <v/>
      </c>
      <c r="T41" s="78" t="str" cm="1">
        <f t="array" ref="T41">IF(P41&gt;COUNTA(Savings[]),"",
  IF(INDEX('Budget Dashboard'!$M:$M, MATCH(Savings_Header_Row + Calculations!P41,'Budget Dashboard'!$AD:$AD, 0)) = 0, "",
   INDEX('Budget Dashboard'!$M:$M, MATCH(Savings_Header_Row + Calculations!P41,'Budget Dashboard'!$AD:$AD, 0))))</f>
        <v/>
      </c>
    </row>
    <row r="42" spans="4:20" x14ac:dyDescent="0.25">
      <c r="D42" s="61">
        <v>4</v>
      </c>
      <c r="E42" s="61" t="str" cm="1">
        <f t="array" ref="E42">IF(AND(F42="",G42="",H42=""),"",INDEX('Budget Dashboard'!$J:$J,MATCH(Income_Header_Row+Calculations!D42,'Budget Dashboard'!$AD:$AD,0)))</f>
        <v/>
      </c>
      <c r="F42" s="78" t="str" cm="1">
        <f t="array" ref="F42">IF(D42&gt;COUNTA(Income[]),"",
  IF(INDEX('Budget Dashboard'!$K:$K, MATCH(Income_Header_Row + Calculations!D42,'Budget Dashboard'!$AD:$AD, 0)) = 0, "",
   INDEX('Budget Dashboard'!$K:$K, MATCH(Income_Header_Row + Calculations!D42,'Budget Dashboard'!$AD:$AD, 0))))</f>
        <v/>
      </c>
      <c r="G42" s="78" t="str" cm="1">
        <f t="array" ref="G42">IF(D42&gt;COUNTA(Income[]),"",
  IF(INDEX('Budget Dashboard'!$L:$L, MATCH(Income_Header_Row + Calculations!D42,'Budget Dashboard'!$AD:$AD, 0)) = 0, "",
   INDEX('Budget Dashboard'!$L:$L, MATCH(Income_Header_Row + Calculations!D42,'Budget Dashboard'!$AD:$AD, 0))))</f>
        <v/>
      </c>
      <c r="H42" s="78" t="str" cm="1">
        <f t="array" ref="H42">IF(D42&gt;COUNTA(Income[]),"",
  IF(INDEX('Budget Dashboard'!$M:$M, MATCH(Income_Header_Row + Calculations!D42,'Budget Dashboard'!$AD:$AD, 0)) = 0, "",
   INDEX('Budget Dashboard'!$M:$M, MATCH(Income_Header_Row + Calculations!D42,'Budget Dashboard'!$AD:$AD, 0))))</f>
        <v/>
      </c>
      <c r="J42" s="61">
        <v>4</v>
      </c>
      <c r="K42" s="61" t="str" cm="1">
        <f t="array" aca="1" ref="K42" ca="1">IF(AND(L42="",M42="",N42=""),"",INDEX('Budget Dashboard'!$J:$J,MATCH(Expenses_Header_Row + Calculations!J42,'Budget Dashboard'!$AD:$AD,0)))</f>
        <v>Shopping</v>
      </c>
      <c r="L42" s="78" cm="1">
        <f t="array" aca="1" ref="L42" ca="1">IF(J42&gt;COUNTA(Expenses[]),"",
  IF(INDEX('Budget Dashboard'!$K:$K, MATCH(Expenses_Header_Row + Calculations!J42,'Budget Dashboard'!$AD:$AD, 0)) = 0, "",
   INDEX('Budget Dashboard'!$K:$K, MATCH(Expenses_Header_Row + Calculations!J42,'Budget Dashboard'!$AD:$AD, 0))))</f>
        <v>50</v>
      </c>
      <c r="M42" s="78" t="str" cm="1">
        <f t="array" aca="1" ref="M42" ca="1">IF(J42&gt;COUNTA(Expenses[]),"",
  IF(INDEX('Budget Dashboard'!$L:$L, MATCH(Expenses_Header_Row + Calculations!J42,'Budget Dashboard'!$AD:$AD, 0)) = 0, "",
   INDEX('Budget Dashboard'!$L:$L, MATCH(Expenses_Header_Row + Calculations!J42,'Budget Dashboard'!$AD:$AD, 0))))</f>
        <v/>
      </c>
      <c r="N42" s="78" t="str" cm="1">
        <f t="array" aca="1" ref="N42" ca="1">IF(J42&gt;COUNTA(Expenses[]),"",
  IF(INDEX('Budget Dashboard'!$M:$M, MATCH(Expenses_Header_Row + Calculations!J42,'Budget Dashboard'!$AD:$AD, 0)) = 0, "",
   INDEX('Budget Dashboard'!$M:$M, MATCH(Expenses_Header_Row + Calculations!J42,'Budget Dashboard'!$AD:$AD, 0))))</f>
        <v/>
      </c>
      <c r="P42" s="61">
        <v>4</v>
      </c>
      <c r="Q42" s="61" t="str" cm="1">
        <f t="array" ref="Q42">IF(AND(R42="",S42="",T42=""),"",INDEX('Budget Dashboard'!$J:$J,MATCH(Savings_Header_Row + Calculations!P42,'Budget Dashboard'!$AD:$AD,0)))</f>
        <v/>
      </c>
      <c r="R42" s="78" t="str" cm="1">
        <f t="array" ref="R42">IF(P42&gt;COUNTA(Savings[]),"",
  IF(INDEX('Budget Dashboard'!$K:$K, MATCH(Savings_Header_Row + Calculations!P42,'Budget Dashboard'!$AD:$AD, 0)) = 0, "",
   INDEX('Budget Dashboard'!$K:$K, MATCH(Savings_Header_Row + Calculations!P42,'Budget Dashboard'!$AD:$AD, 0))))</f>
        <v/>
      </c>
      <c r="S42" s="78" t="str" cm="1">
        <f t="array" ref="S42">IF(P42&gt;COUNTA(Savings[]),"",
  IF(INDEX('Budget Dashboard'!$L:$L, MATCH(Savings_Header_Row + Calculations!P42,'Budget Dashboard'!$AD:$AD, 0)) = 0, "",
   INDEX('Budget Dashboard'!$L:$L, MATCH(Savings_Header_Row + Calculations!P42,'Budget Dashboard'!$AD:$AD, 0))))</f>
        <v/>
      </c>
      <c r="T42" s="78" t="str" cm="1">
        <f t="array" ref="T42">IF(P42&gt;COUNTA(Savings[]),"",
  IF(INDEX('Budget Dashboard'!$M:$M, MATCH(Savings_Header_Row + Calculations!P42,'Budget Dashboard'!$AD:$AD, 0)) = 0, "",
   INDEX('Budget Dashboard'!$M:$M, MATCH(Savings_Header_Row + Calculations!P42,'Budget Dashboard'!$AD:$AD, 0))))</f>
        <v/>
      </c>
    </row>
    <row r="43" spans="4:20" x14ac:dyDescent="0.25">
      <c r="D43" s="61">
        <v>5</v>
      </c>
      <c r="E43" s="61" t="str" cm="1">
        <f t="array" ref="E43">IF(AND(F43="",G43="",H43=""),"",INDEX('Budget Dashboard'!$J:$J,MATCH(Income_Header_Row+Calculations!D43,'Budget Dashboard'!$AD:$AD,0)))</f>
        <v/>
      </c>
      <c r="F43" s="78" t="str" cm="1">
        <f t="array" ref="F43">IF(D43&gt;COUNTA(Income[]),"",
  IF(INDEX('Budget Dashboard'!$K:$K, MATCH(Income_Header_Row + Calculations!D43,'Budget Dashboard'!$AD:$AD, 0)) = 0, "",
   INDEX('Budget Dashboard'!$K:$K, MATCH(Income_Header_Row + Calculations!D43,'Budget Dashboard'!$AD:$AD, 0))))</f>
        <v/>
      </c>
      <c r="G43" s="78" t="str" cm="1">
        <f t="array" ref="G43">IF(D43&gt;COUNTA(Income[]),"",
  IF(INDEX('Budget Dashboard'!$L:$L, MATCH(Income_Header_Row + Calculations!D43,'Budget Dashboard'!$AD:$AD, 0)) = 0, "",
   INDEX('Budget Dashboard'!$L:$L, MATCH(Income_Header_Row + Calculations!D43,'Budget Dashboard'!$AD:$AD, 0))))</f>
        <v/>
      </c>
      <c r="H43" s="78" t="str" cm="1">
        <f t="array" ref="H43">IF(D43&gt;COUNTA(Income[]),"",
  IF(INDEX('Budget Dashboard'!$M:$M, MATCH(Income_Header_Row + Calculations!D43,'Budget Dashboard'!$AD:$AD, 0)) = 0, "",
   INDEX('Budget Dashboard'!$M:$M, MATCH(Income_Header_Row + Calculations!D43,'Budget Dashboard'!$AD:$AD, 0))))</f>
        <v/>
      </c>
      <c r="J43" s="61">
        <v>5</v>
      </c>
      <c r="K43" s="61" t="str" cm="1">
        <f t="array" aca="1" ref="K43" ca="1">IF(AND(L43="",M43="",N43=""),"",INDEX('Budget Dashboard'!$J:$J,MATCH(Expenses_Header_Row + Calculations!J43,'Budget Dashboard'!$AD:$AD,0)))</f>
        <v>Transportation</v>
      </c>
      <c r="L43" s="78" cm="1">
        <f t="array" aca="1" ref="L43" ca="1">IF(J43&gt;COUNTA(Expenses[]),"",
  IF(INDEX('Budget Dashboard'!$K:$K, MATCH(Expenses_Header_Row + Calculations!J43,'Budget Dashboard'!$AD:$AD, 0)) = 0, "",
   INDEX('Budget Dashboard'!$K:$K, MATCH(Expenses_Header_Row + Calculations!J43,'Budget Dashboard'!$AD:$AD, 0))))</f>
        <v>40</v>
      </c>
      <c r="M43" s="78" t="str" cm="1">
        <f t="array" aca="1" ref="M43" ca="1">IF(J43&gt;COUNTA(Expenses[]),"",
  IF(INDEX('Budget Dashboard'!$L:$L, MATCH(Expenses_Header_Row + Calculations!J43,'Budget Dashboard'!$AD:$AD, 0)) = 0, "",
   INDEX('Budget Dashboard'!$L:$L, MATCH(Expenses_Header_Row + Calculations!J43,'Budget Dashboard'!$AD:$AD, 0))))</f>
        <v/>
      </c>
      <c r="N43" s="78" t="str" cm="1">
        <f t="array" aca="1" ref="N43" ca="1">IF(J43&gt;COUNTA(Expenses[]),"",
  IF(INDEX('Budget Dashboard'!$M:$M, MATCH(Expenses_Header_Row + Calculations!J43,'Budget Dashboard'!$AD:$AD, 0)) = 0, "",
   INDEX('Budget Dashboard'!$M:$M, MATCH(Expenses_Header_Row + Calculations!J43,'Budget Dashboard'!$AD:$AD, 0))))</f>
        <v/>
      </c>
      <c r="P43" s="61">
        <v>5</v>
      </c>
      <c r="Q43" s="61" t="str" cm="1">
        <f t="array" ref="Q43">IF(AND(R43="",S43="",T43=""),"",INDEX('Budget Dashboard'!$J:$J,MATCH(Savings_Header_Row + Calculations!P43,'Budget Dashboard'!$AD:$AD,0)))</f>
        <v/>
      </c>
      <c r="R43" s="78" t="str" cm="1">
        <f t="array" ref="R43">IF(P43&gt;COUNTA(Savings[]),"",
  IF(INDEX('Budget Dashboard'!$K:$K, MATCH(Savings_Header_Row + Calculations!P43,'Budget Dashboard'!$AD:$AD, 0)) = 0, "",
   INDEX('Budget Dashboard'!$K:$K, MATCH(Savings_Header_Row + Calculations!P43,'Budget Dashboard'!$AD:$AD, 0))))</f>
        <v/>
      </c>
      <c r="S43" s="78" t="str" cm="1">
        <f t="array" ref="S43">IF(P43&gt;COUNTA(Savings[]),"",
  IF(INDEX('Budget Dashboard'!$L:$L, MATCH(Savings_Header_Row + Calculations!P43,'Budget Dashboard'!$AD:$AD, 0)) = 0, "",
   INDEX('Budget Dashboard'!$L:$L, MATCH(Savings_Header_Row + Calculations!P43,'Budget Dashboard'!$AD:$AD, 0))))</f>
        <v/>
      </c>
      <c r="T43" s="78" t="str" cm="1">
        <f t="array" ref="T43">IF(P43&gt;COUNTA(Savings[]),"",
  IF(INDEX('Budget Dashboard'!$M:$M, MATCH(Savings_Header_Row + Calculations!P43,'Budget Dashboard'!$AD:$AD, 0)) = 0, "",
   INDEX('Budget Dashboard'!$M:$M, MATCH(Savings_Header_Row + Calculations!P43,'Budget Dashboard'!$AD:$AD, 0))))</f>
        <v/>
      </c>
    </row>
    <row r="44" spans="4:20" ht="15.75" thickBot="1" x14ac:dyDescent="0.3">
      <c r="D44" s="76">
        <v>6</v>
      </c>
      <c r="E44" s="76" t="str">
        <f ca="1">IF(AND(F44="",G44="",H44=""),"", "Other")</f>
        <v/>
      </c>
      <c r="F44" s="79" t="str">
        <f ca="1">IF(F45-SUM(F39:F43) = 0, "", F45-SUM(F39:F43))</f>
        <v/>
      </c>
      <c r="G44" s="79" t="str">
        <f t="shared" ref="G44:H44" ca="1" si="1">IF(G45-SUM(G39:G43) = 0, "", G45-SUM(G39:G43))</f>
        <v/>
      </c>
      <c r="H44" s="79" t="str">
        <f t="shared" ca="1" si="1"/>
        <v/>
      </c>
      <c r="J44" s="76">
        <v>6</v>
      </c>
      <c r="K44" s="76" t="str">
        <f ca="1">IF(AND(L44="",M44="",N44=""),"", "Other")</f>
        <v>Other</v>
      </c>
      <c r="L44" s="79">
        <f ca="1">IF(L45-SUM(L39:L43) = 0, "", L45-SUM(L39:L43))</f>
        <v>53</v>
      </c>
      <c r="M44" s="79">
        <f t="shared" ref="M44:N44" ca="1" si="2">IF(M45-SUM(M39:M43) = 0, "", M45-SUM(M39:M43))</f>
        <v>-160000</v>
      </c>
      <c r="N44" s="79" t="str">
        <f t="shared" ca="1" si="2"/>
        <v/>
      </c>
      <c r="P44" s="76">
        <v>6</v>
      </c>
      <c r="Q44" s="76" t="str">
        <f ca="1">IF(AND(R44="",S44="",T44=""),"", "Other")</f>
        <v/>
      </c>
      <c r="R44" s="79" t="str">
        <f ca="1">IF(R45-SUM(R39:R43) = 0, "", R45-SUM(R39:R43))</f>
        <v/>
      </c>
      <c r="S44" s="79" t="str">
        <f t="shared" ref="S44:T44" ca="1" si="3">IF(S45-SUM(S39:S43) = 0, "", S45-SUM(S39:S43))</f>
        <v/>
      </c>
      <c r="T44" s="79" t="str">
        <f t="shared" ca="1" si="3"/>
        <v/>
      </c>
    </row>
    <row r="45" spans="4:20" ht="15.75" thickTop="1" x14ac:dyDescent="0.25">
      <c r="D45" s="61"/>
      <c r="E45" s="77" t="s">
        <v>26</v>
      </c>
      <c r="F45" s="80" cm="1">
        <f t="array" aca="1" ref="F45" ca="1">INDEX('Budget Dashboard'!$K:$K, MATCH(Income_Total_Row, 'Budget Dashboard'!$AD:$AD, 0))</f>
        <v>0</v>
      </c>
      <c r="G45" s="80" cm="1">
        <f t="array" aca="1" ref="G45" ca="1">INDEX('Budget Dashboard'!$L:$L, MATCH(Income_Total_Row, 'Budget Dashboard'!$AD:$AD, 0))</f>
        <v>0</v>
      </c>
      <c r="H45" s="80" cm="1">
        <f t="array" aca="1" ref="H45" ca="1">INDEX('Budget Dashboard'!$M:$M, MATCH(Income_Total_Row, 'Budget Dashboard'!$AD:$AD, 0))</f>
        <v>0</v>
      </c>
      <c r="J45" s="61"/>
      <c r="K45" s="77" t="s">
        <v>26</v>
      </c>
      <c r="L45" s="80" cm="1">
        <f t="array" aca="1" ref="L45" ca="1">INDEX('Budget Dashboard'!$K:$K, MATCH(Expenses_Total_Row, 'Budget Dashboard'!$AD:$AD, 0))</f>
        <v>566.5</v>
      </c>
      <c r="M45" s="80" cm="1">
        <f t="array" aca="1" ref="M45" ca="1">INDEX('Budget Dashboard'!$L:$L, MATCH(Expenses_Total_Row, 'Budget Dashboard'!$AD:$AD, 0))</f>
        <v>310000</v>
      </c>
      <c r="N45" s="80" cm="1">
        <f t="array" aca="1" ref="N45" ca="1">INDEX('Budget Dashboard'!$M:$M, MATCH(Expenses_Total_Row, 'Budget Dashboard'!$AD:$AD, 0))</f>
        <v>0</v>
      </c>
      <c r="P45" s="61"/>
      <c r="Q45" s="77" t="s">
        <v>26</v>
      </c>
      <c r="R45" s="80" cm="1">
        <f t="array" aca="1" ref="R45" ca="1">INDEX('Budget Dashboard'!$K:$K, MATCH(Savings_Total_Row, 'Budget Dashboard'!$AD:$AD, 0))</f>
        <v>0</v>
      </c>
      <c r="S45" s="80" cm="1">
        <f t="array" aca="1" ref="S45" ca="1">INDEX('Budget Dashboard'!$L:$L, MATCH(Savings_Total_Row, 'Budget Dashboard'!$AD:$AD, 0))</f>
        <v>0</v>
      </c>
      <c r="T45" s="80" cm="1">
        <f t="array" aca="1" ref="T45" ca="1">INDEX('Budget Dashboard'!$M:$M, MATCH(Savings_Total_Row, 'Budget Dashboard'!$AD:$AD, 0))</f>
        <v>0</v>
      </c>
    </row>
    <row r="51" spans="4:18" x14ac:dyDescent="0.25">
      <c r="D51" s="74" t="s">
        <v>176</v>
      </c>
      <c r="E51" s="73"/>
      <c r="F51" s="73"/>
      <c r="G51" s="73"/>
      <c r="H51" s="73"/>
      <c r="I51" s="73"/>
      <c r="J51" s="73"/>
      <c r="K51" s="73"/>
      <c r="L51" s="73"/>
      <c r="M51" s="73"/>
      <c r="N51" s="73"/>
    </row>
    <row r="53" spans="4:18" x14ac:dyDescent="0.25">
      <c r="D53" s="94" t="s">
        <v>177</v>
      </c>
      <c r="E53" s="95" t="b">
        <v>1</v>
      </c>
    </row>
    <row r="54" spans="4:18" x14ac:dyDescent="0.25">
      <c r="D54" s="94" t="s">
        <v>178</v>
      </c>
      <c r="E54" s="95" t="b">
        <v>1</v>
      </c>
    </row>
    <row r="55" spans="4:18" x14ac:dyDescent="0.25">
      <c r="D55" s="94" t="s">
        <v>179</v>
      </c>
      <c r="E55" s="95" t="b">
        <v>1</v>
      </c>
    </row>
    <row r="56" spans="4:18" x14ac:dyDescent="0.25">
      <c r="D56" s="94" t="s">
        <v>180</v>
      </c>
      <c r="E56" s="95" t="b">
        <v>1</v>
      </c>
    </row>
    <row r="57" spans="4:18" x14ac:dyDescent="0.25">
      <c r="M57" s="124" t="s">
        <v>181</v>
      </c>
      <c r="N57" s="124"/>
      <c r="O57" s="124"/>
      <c r="P57" s="125" t="s">
        <v>182</v>
      </c>
      <c r="Q57" s="125"/>
      <c r="R57" s="125"/>
    </row>
    <row r="58" spans="4:18" s="77" customFormat="1" x14ac:dyDescent="0.25">
      <c r="D58" s="75" t="s">
        <v>183</v>
      </c>
      <c r="E58" s="75" t="s">
        <v>55</v>
      </c>
      <c r="F58" s="75" t="s">
        <v>184</v>
      </c>
      <c r="G58" s="75" t="s">
        <v>185</v>
      </c>
      <c r="H58" s="75" t="s">
        <v>186</v>
      </c>
      <c r="I58" s="75" t="s">
        <v>187</v>
      </c>
      <c r="J58" s="75" t="s">
        <v>132</v>
      </c>
      <c r="K58" s="75" t="s">
        <v>135</v>
      </c>
      <c r="L58" s="75" t="s">
        <v>188</v>
      </c>
      <c r="M58" s="75" t="s">
        <v>189</v>
      </c>
      <c r="N58" s="75" t="s">
        <v>190</v>
      </c>
      <c r="O58" s="75" t="s">
        <v>191</v>
      </c>
      <c r="P58" s="75" t="s">
        <v>189</v>
      </c>
      <c r="Q58" s="75" t="s">
        <v>190</v>
      </c>
      <c r="R58" s="75" t="s">
        <v>191</v>
      </c>
    </row>
    <row r="59" spans="4:18" x14ac:dyDescent="0.25">
      <c r="D59" s="120">
        <f ca="1">DATE(Selected_Year,1,1)</f>
        <v>46023</v>
      </c>
      <c r="E59" s="91" t="s">
        <v>20</v>
      </c>
      <c r="F59" s="91">
        <f ca="1">MONTH(D59)</f>
        <v>1</v>
      </c>
      <c r="G59" s="91">
        <f ca="1">IF(Selected_Period = "Total Year",1, IF(Selected_Period = CC_Month_Number, 1, 0))</f>
        <v>1</v>
      </c>
      <c r="H59" s="91">
        <f>1*$E$53</f>
        <v>1</v>
      </c>
      <c r="I59" s="91">
        <f>1*$E$56</f>
        <v>1</v>
      </c>
      <c r="J59" s="93" cm="1">
        <f t="array" aca="1" ref="J59" ca="1">SUM(Tracking[Amount $] * (Tracking[Type] = CC_Type) * (YEAR(Tracking[Effective Date]) = Selected_Year) * (MONTH(Tracking[Effective Date]) = CC_Month_Number))</f>
        <v>0</v>
      </c>
      <c r="K59" s="93" cm="1">
        <f t="array" aca="1" ref="K59" ca="1">INDEX('Budget Planning'!$E:$EM, Income_Total_Row, MATCH(DATE(Selected_Year,CC_Month_Number,1), 'Budget Planning'!$E$9:$EM$9,0) )</f>
        <v>0</v>
      </c>
      <c r="L59" s="93">
        <f ca="1" xml:space="preserve"> CC_Budget - CC_Tracked_USD</f>
        <v>0</v>
      </c>
      <c r="M59" s="93">
        <f ca="1">CC_In_Focus * CC_Show_Type * MIN(CC_Tracked_USD,CC_Budget)</f>
        <v>0</v>
      </c>
      <c r="N59" s="93">
        <f ca="1">CC_In_Focus * CC_Show_Type * CC_Show_Remaining_Budget * IF(CC_Delta &gt; 0, CC_Delta,0)</f>
        <v>0</v>
      </c>
      <c r="O59" s="93">
        <f ca="1">CC_In_Focus * CC_Show_Type * IF(CC_Delta &lt; 0, ABS(CC_Delta), 0)</f>
        <v>0</v>
      </c>
      <c r="P59" s="93">
        <f ca="1">NOT(CC_In_Focus) * CC_Show_Type * MIN(CC_Tracked_USD,CC_Budget)</f>
        <v>0</v>
      </c>
      <c r="Q59" s="93">
        <f ca="1">NOT(CC_In_Focus) * CC_Show_Type * CC_Show_Remaining_Budget * IF(CC_Delta &gt; 0, CC_Delta,0)</f>
        <v>0</v>
      </c>
      <c r="R59" s="93">
        <f ca="1">NOT(CC_In_Focus) * CC_Show_Type * IF(CC_Delta &lt; 0, ABS(CC_Delta), 0)</f>
        <v>0</v>
      </c>
    </row>
    <row r="60" spans="4:18" x14ac:dyDescent="0.25">
      <c r="D60" s="120"/>
      <c r="E60" s="91" t="s">
        <v>27</v>
      </c>
      <c r="F60" s="91">
        <f ca="1">MONTH(D59)</f>
        <v>1</v>
      </c>
      <c r="G60" s="91">
        <f ca="1">IF(Selected_Period = "Total Year",1, IF(Selected_Period = CC_Month_Number, 1, 0))</f>
        <v>1</v>
      </c>
      <c r="H60" s="91">
        <f>1*$E$54</f>
        <v>1</v>
      </c>
      <c r="I60" s="91">
        <f t="shared" ref="I60:I61" si="4">1*$E$56</f>
        <v>1</v>
      </c>
      <c r="J60" s="93" cm="1">
        <f t="array" aca="1" ref="J60" ca="1">SUM(Tracking[Amount $] * (Tracking[Type] = CC_Type) * (YEAR(Tracking[Effective Date]) = Selected_Year) * (MONTH(Tracking[Effective Date]) = CC_Month_Number))</f>
        <v>566.5</v>
      </c>
      <c r="K60" s="93" cm="1">
        <f t="array" aca="1" ref="K60" ca="1">INDEX('Budget Planning'!$E:$EM, Expenses_Total_Row, MATCH(DATE(Selected_Year,CC_Month_Number,1), 'Budget Planning'!$E$9:$EM$9,0) )</f>
        <v>0</v>
      </c>
      <c r="L60" s="93">
        <f ca="1" xml:space="preserve"> CC_Budget - CC_Tracked_USD</f>
        <v>-566.5</v>
      </c>
      <c r="M60" s="93">
        <f ca="1">CC_In_Focus * CC_Show_Type * MIN(CC_Tracked_USD,CC_Budget)</f>
        <v>0</v>
      </c>
      <c r="N60" s="93">
        <f ca="1">CC_In_Focus * CC_Show_Type * CC_Show_Remaining_Budget * IF(CC_Delta &gt; 0, CC_Delta,0)</f>
        <v>0</v>
      </c>
      <c r="O60" s="93">
        <f ca="1">CC_In_Focus * CC_Show_Type * IF(CC_Delta &lt; 0, ABS(CC_Delta), 0)</f>
        <v>566.5</v>
      </c>
      <c r="P60" s="93">
        <f ca="1">NOT(CC_In_Focus) * CC_Show_Type * MIN(CC_Tracked_USD,CC_Budget)</f>
        <v>0</v>
      </c>
      <c r="Q60" s="93">
        <f ca="1">NOT(CC_In_Focus) * CC_Show_Type * CC_Show_Remaining_Budget * IF(CC_Delta &gt; 0, CC_Delta,0)</f>
        <v>0</v>
      </c>
      <c r="R60" s="93">
        <f ca="1">NOT(CC_In_Focus) * CC_Show_Type * IF(CC_Delta &lt; 0, ABS(CC_Delta), 0)</f>
        <v>0</v>
      </c>
    </row>
    <row r="61" spans="4:18" x14ac:dyDescent="0.25">
      <c r="D61" s="120"/>
      <c r="E61" s="91" t="s">
        <v>50</v>
      </c>
      <c r="F61" s="91">
        <f ca="1">MONTH(D59)</f>
        <v>1</v>
      </c>
      <c r="G61" s="91">
        <f ca="1">IF(Selected_Period = "Total Year",1, IF(Selected_Period = CC_Month_Number, 1, 0))</f>
        <v>1</v>
      </c>
      <c r="H61" s="91">
        <f>1*$E$55</f>
        <v>1</v>
      </c>
      <c r="I61" s="91">
        <f t="shared" si="4"/>
        <v>1</v>
      </c>
      <c r="J61" s="93" cm="1">
        <f t="array" aca="1" ref="J61" ca="1">SUM(Tracking[Amount $] * (Tracking[Type] = CC_Type) * (YEAR(Tracking[Effective Date]) = Selected_Year) * (MONTH(Tracking[Effective Date]) = CC_Month_Number))</f>
        <v>0</v>
      </c>
      <c r="K61" s="93" cm="1">
        <f t="array" aca="1" ref="K61" ca="1">INDEX('Budget Planning'!$E:$EM, Savings_Total_Row, MATCH(DATE(Selected_Year,CC_Month_Number,1), 'Budget Planning'!$E$9:$EM$9,0) )</f>
        <v>0</v>
      </c>
      <c r="L61" s="93">
        <f ca="1" xml:space="preserve"> CC_Budget - CC_Tracked_USD</f>
        <v>0</v>
      </c>
      <c r="M61" s="93">
        <f ca="1">CC_In_Focus * CC_Show_Type * MIN(CC_Tracked_USD,CC_Budget)</f>
        <v>0</v>
      </c>
      <c r="N61" s="93">
        <f ca="1">CC_In_Focus * CC_Show_Type * CC_Show_Remaining_Budget * IF(CC_Delta &gt; 0, CC_Delta,0)</f>
        <v>0</v>
      </c>
      <c r="O61" s="93">
        <f ca="1">CC_In_Focus * CC_Show_Type * IF(CC_Delta &lt; 0, ABS(CC_Delta), 0)</f>
        <v>0</v>
      </c>
      <c r="P61" s="93">
        <f ca="1">NOT(CC_In_Focus) * CC_Show_Type * MIN(CC_Tracked_USD,CC_Budget)</f>
        <v>0</v>
      </c>
      <c r="Q61" s="93">
        <f ca="1">NOT(CC_In_Focus) * CC_Show_Type * CC_Show_Remaining_Budget * IF(CC_Delta &gt; 0, CC_Delta,0)</f>
        <v>0</v>
      </c>
      <c r="R61" s="93">
        <f ca="1">NOT(CC_In_Focus) * CC_Show_Type * IF(CC_Delta &lt; 0, ABS(CC_Delta), 0)</f>
        <v>0</v>
      </c>
    </row>
    <row r="62" spans="4:18" x14ac:dyDescent="0.25">
      <c r="D62" s="121"/>
      <c r="E62" s="92"/>
      <c r="F62" s="92"/>
      <c r="G62" s="92"/>
      <c r="H62" s="92"/>
      <c r="I62" s="92"/>
      <c r="J62" s="96"/>
      <c r="K62" s="96"/>
      <c r="L62" s="96"/>
      <c r="M62" s="92"/>
      <c r="N62" s="92"/>
      <c r="O62" s="92"/>
      <c r="P62" s="92"/>
      <c r="Q62" s="92"/>
      <c r="R62" s="92"/>
    </row>
    <row r="63" spans="4:18" x14ac:dyDescent="0.25">
      <c r="D63" s="119">
        <f ca="1">DATE(Selected_Year,2,1)</f>
        <v>46054</v>
      </c>
      <c r="E63" s="90" t="s">
        <v>20</v>
      </c>
      <c r="F63" s="91">
        <f t="shared" ref="F63" ca="1" si="5">MONTH(D63)</f>
        <v>2</v>
      </c>
      <c r="G63" s="91">
        <f ca="1">IF(Selected_Period = "Total Year",1, IF(Selected_Period = CC_Month_Number, 1, 0))</f>
        <v>0</v>
      </c>
      <c r="H63" s="91">
        <f t="shared" ref="H63" si="6">1*$E$53</f>
        <v>1</v>
      </c>
      <c r="I63" s="91">
        <f t="shared" ref="I63:I105" si="7">1*$E$56</f>
        <v>1</v>
      </c>
      <c r="J63" s="93" cm="1">
        <f t="array" aca="1" ref="J63" ca="1">SUM(Tracking[Amount $] * (Tracking[Type] = CC_Type) * (YEAR(Tracking[Effective Date]) = Selected_Year) * (MONTH(Tracking[Effective Date]) = CC_Month_Number))</f>
        <v>0</v>
      </c>
      <c r="K63" s="93" cm="1">
        <f t="array" aca="1" ref="K63" ca="1">INDEX('Budget Planning'!$E:$EM, Income_Total_Row, MATCH(DATE(Selected_Year,CC_Month_Number,1), 'Budget Planning'!$E$9:$EM$9,0) )</f>
        <v>0</v>
      </c>
      <c r="L63" s="93">
        <f ca="1" xml:space="preserve"> CC_Budget - CC_Tracked_USD</f>
        <v>0</v>
      </c>
      <c r="M63" s="93">
        <f ca="1">CC_In_Focus * CC_Show_Type * MIN(CC_Tracked_USD,CC_Budget)</f>
        <v>0</v>
      </c>
      <c r="N63" s="93">
        <f ca="1">CC_In_Focus * CC_Show_Type * CC_Show_Remaining_Budget * IF(CC_Delta &gt; 0, CC_Delta,0)</f>
        <v>0</v>
      </c>
      <c r="O63" s="93">
        <f ca="1">CC_In_Focus * CC_Show_Type * IF(CC_Delta &lt; 0, ABS(CC_Delta), 0)</f>
        <v>0</v>
      </c>
      <c r="P63" s="93">
        <f ca="1">NOT(CC_In_Focus) * CC_Show_Type * MIN(CC_Tracked_USD,CC_Budget)</f>
        <v>0</v>
      </c>
      <c r="Q63" s="93">
        <f ca="1">NOT(CC_In_Focus) * CC_Show_Type * CC_Show_Remaining_Budget * IF(CC_Delta &gt; 0, CC_Delta,0)</f>
        <v>0</v>
      </c>
      <c r="R63" s="93">
        <f ca="1">NOT(CC_In_Focus) * CC_Show_Type * IF(CC_Delta &lt; 0, ABS(CC_Delta), 0)</f>
        <v>0</v>
      </c>
    </row>
    <row r="64" spans="4:18" x14ac:dyDescent="0.25">
      <c r="D64" s="120"/>
      <c r="E64" s="91" t="s">
        <v>27</v>
      </c>
      <c r="F64" s="91">
        <f t="shared" ref="F64" ca="1" si="8">MONTH(D63)</f>
        <v>2</v>
      </c>
      <c r="G64" s="91">
        <f ca="1">IF(Selected_Period = "Total Year",1, IF(Selected_Period = CC_Month_Number, 1, 0))</f>
        <v>0</v>
      </c>
      <c r="H64" s="91">
        <f t="shared" ref="H64" si="9">1*$E$54</f>
        <v>1</v>
      </c>
      <c r="I64" s="91">
        <f t="shared" si="7"/>
        <v>1</v>
      </c>
      <c r="J64" s="93" cm="1">
        <f t="array" aca="1" ref="J64" ca="1">SUM(Tracking[Amount $] * (Tracking[Type] = CC_Type) * (YEAR(Tracking[Effective Date]) = Selected_Year) * (MONTH(Tracking[Effective Date]) = CC_Month_Number))</f>
        <v>0</v>
      </c>
      <c r="K64" s="93" cm="1">
        <f t="array" aca="1" ref="K64" ca="1">INDEX('Budget Planning'!$E:$EM, Expenses_Total_Row, MATCH(DATE(Selected_Year,CC_Month_Number,1), 'Budget Planning'!$E$9:$EM$9,0) )</f>
        <v>0</v>
      </c>
      <c r="L64" s="93">
        <f ca="1" xml:space="preserve"> CC_Budget - CC_Tracked_USD</f>
        <v>0</v>
      </c>
      <c r="M64" s="93">
        <f ca="1">CC_In_Focus * CC_Show_Type * MIN(CC_Tracked_USD,CC_Budget)</f>
        <v>0</v>
      </c>
      <c r="N64" s="93">
        <f ca="1">CC_In_Focus * CC_Show_Type * CC_Show_Remaining_Budget * IF(CC_Delta &gt; 0, CC_Delta,0)</f>
        <v>0</v>
      </c>
      <c r="O64" s="93">
        <f ca="1">CC_In_Focus * CC_Show_Type * IF(CC_Delta &lt; 0, ABS(CC_Delta), 0)</f>
        <v>0</v>
      </c>
      <c r="P64" s="93">
        <f ca="1">NOT(CC_In_Focus) * CC_Show_Type * MIN(CC_Tracked_USD,CC_Budget)</f>
        <v>0</v>
      </c>
      <c r="Q64" s="93">
        <f ca="1">NOT(CC_In_Focus) * CC_Show_Type * CC_Show_Remaining_Budget * IF(CC_Delta &gt; 0, CC_Delta,0)</f>
        <v>0</v>
      </c>
      <c r="R64" s="93">
        <f ca="1">NOT(CC_In_Focus) * CC_Show_Type * IF(CC_Delta &lt; 0, ABS(CC_Delta), 0)</f>
        <v>0</v>
      </c>
    </row>
    <row r="65" spans="4:18" x14ac:dyDescent="0.25">
      <c r="D65" s="120"/>
      <c r="E65" s="91" t="s">
        <v>50</v>
      </c>
      <c r="F65" s="91">
        <f t="shared" ref="F65" ca="1" si="10">MONTH(D63)</f>
        <v>2</v>
      </c>
      <c r="G65" s="91">
        <f ca="1">IF(Selected_Period = "Total Year",1, IF(Selected_Period = CC_Month_Number, 1, 0))</f>
        <v>0</v>
      </c>
      <c r="H65" s="91">
        <f t="shared" ref="H65" si="11">1*$E$55</f>
        <v>1</v>
      </c>
      <c r="I65" s="91">
        <f t="shared" si="7"/>
        <v>1</v>
      </c>
      <c r="J65" s="93" cm="1">
        <f t="array" aca="1" ref="J65" ca="1">SUM(Tracking[Amount $] * (Tracking[Type] = CC_Type) * (YEAR(Tracking[Effective Date]) = Selected_Year) * (MONTH(Tracking[Effective Date]) = CC_Month_Number))</f>
        <v>0</v>
      </c>
      <c r="K65" s="93" cm="1">
        <f t="array" aca="1" ref="K65" ca="1">INDEX('Budget Planning'!$E:$EM, Savings_Total_Row, MATCH(DATE(Selected_Year,CC_Month_Number,1), 'Budget Planning'!$E$9:$EM$9,0) )</f>
        <v>0</v>
      </c>
      <c r="L65" s="93">
        <f ca="1" xml:space="preserve"> CC_Budget - CC_Tracked_USD</f>
        <v>0</v>
      </c>
      <c r="M65" s="93">
        <f ca="1">CC_In_Focus * CC_Show_Type * MIN(CC_Tracked_USD,CC_Budget)</f>
        <v>0</v>
      </c>
      <c r="N65" s="93">
        <f ca="1">CC_In_Focus * CC_Show_Type * CC_Show_Remaining_Budget * IF(CC_Delta &gt; 0, CC_Delta,0)</f>
        <v>0</v>
      </c>
      <c r="O65" s="93">
        <f ca="1">CC_In_Focus * CC_Show_Type * IF(CC_Delta &lt; 0, ABS(CC_Delta), 0)</f>
        <v>0</v>
      </c>
      <c r="P65" s="93">
        <f ca="1">NOT(CC_In_Focus) * CC_Show_Type * MIN(CC_Tracked_USD,CC_Budget)</f>
        <v>0</v>
      </c>
      <c r="Q65" s="93">
        <f ca="1">NOT(CC_In_Focus) * CC_Show_Type * CC_Show_Remaining_Budget * IF(CC_Delta &gt; 0, CC_Delta,0)</f>
        <v>0</v>
      </c>
      <c r="R65" s="93">
        <f ca="1">NOT(CC_In_Focus) * CC_Show_Type * IF(CC_Delta &lt; 0, ABS(CC_Delta), 0)</f>
        <v>0</v>
      </c>
    </row>
    <row r="66" spans="4:18" x14ac:dyDescent="0.25">
      <c r="D66" s="121"/>
      <c r="E66" s="92"/>
      <c r="F66" s="92"/>
      <c r="G66" s="92"/>
      <c r="H66" s="92"/>
      <c r="I66" s="92"/>
      <c r="J66" s="96"/>
      <c r="K66" s="96"/>
      <c r="L66" s="96"/>
      <c r="M66" s="92"/>
      <c r="N66" s="92"/>
      <c r="O66" s="92"/>
      <c r="P66" s="92"/>
      <c r="Q66" s="92"/>
      <c r="R66" s="92"/>
    </row>
    <row r="67" spans="4:18" x14ac:dyDescent="0.25">
      <c r="D67" s="119">
        <f ca="1">DATE(Selected_Year,3,1)</f>
        <v>46082</v>
      </c>
      <c r="E67" s="90" t="s">
        <v>20</v>
      </c>
      <c r="F67" s="91">
        <f t="shared" ref="F67" ca="1" si="12">MONTH(D67)</f>
        <v>3</v>
      </c>
      <c r="G67" s="91">
        <f ca="1">IF(Selected_Period = "Total Year",1, IF(Selected_Period = CC_Month_Number, 1, 0))</f>
        <v>0</v>
      </c>
      <c r="H67" s="91">
        <f t="shared" ref="H67" si="13">1*$E$53</f>
        <v>1</v>
      </c>
      <c r="I67" s="91">
        <f t="shared" ref="I67" si="14">1*$E$56</f>
        <v>1</v>
      </c>
      <c r="J67" s="93" cm="1">
        <f t="array" aca="1" ref="J67" ca="1">SUM(Tracking[Amount $] * (Tracking[Type] = CC_Type) * (YEAR(Tracking[Effective Date]) = Selected_Year) * (MONTH(Tracking[Effective Date]) = CC_Month_Number))</f>
        <v>0</v>
      </c>
      <c r="K67" s="93" cm="1">
        <f t="array" aca="1" ref="K67" ca="1">INDEX('Budget Planning'!$E:$EM, Income_Total_Row, MATCH(DATE(Selected_Year,CC_Month_Number,1), 'Budget Planning'!$E$9:$EM$9,0) )</f>
        <v>0</v>
      </c>
      <c r="L67" s="93">
        <f ca="1" xml:space="preserve"> CC_Budget - CC_Tracked_USD</f>
        <v>0</v>
      </c>
      <c r="M67" s="93">
        <f ca="1">CC_In_Focus * CC_Show_Type * MIN(CC_Tracked_USD,CC_Budget)</f>
        <v>0</v>
      </c>
      <c r="N67" s="93">
        <f ca="1">CC_In_Focus * CC_Show_Type * CC_Show_Remaining_Budget * IF(CC_Delta &gt; 0, CC_Delta,0)</f>
        <v>0</v>
      </c>
      <c r="O67" s="93">
        <f ca="1">CC_In_Focus * CC_Show_Type * IF(CC_Delta &lt; 0, ABS(CC_Delta), 0)</f>
        <v>0</v>
      </c>
      <c r="P67" s="93">
        <f ca="1">NOT(CC_In_Focus) * CC_Show_Type * MIN(CC_Tracked_USD,CC_Budget)</f>
        <v>0</v>
      </c>
      <c r="Q67" s="93">
        <f ca="1">NOT(CC_In_Focus) * CC_Show_Type * CC_Show_Remaining_Budget * IF(CC_Delta &gt; 0, CC_Delta,0)</f>
        <v>0</v>
      </c>
      <c r="R67" s="93">
        <f ca="1">NOT(CC_In_Focus) * CC_Show_Type * IF(CC_Delta &lt; 0, ABS(CC_Delta), 0)</f>
        <v>0</v>
      </c>
    </row>
    <row r="68" spans="4:18" x14ac:dyDescent="0.25">
      <c r="D68" s="120"/>
      <c r="E68" s="91" t="s">
        <v>27</v>
      </c>
      <c r="F68" s="91">
        <f t="shared" ref="F68" ca="1" si="15">MONTH(D67)</f>
        <v>3</v>
      </c>
      <c r="G68" s="91">
        <f ca="1">IF(Selected_Period = "Total Year",1, IF(Selected_Period = CC_Month_Number, 1, 0))</f>
        <v>0</v>
      </c>
      <c r="H68" s="91">
        <f t="shared" ref="H68" si="16">1*$E$54</f>
        <v>1</v>
      </c>
      <c r="I68" s="91">
        <f t="shared" si="7"/>
        <v>1</v>
      </c>
      <c r="J68" s="93" cm="1">
        <f t="array" aca="1" ref="J68" ca="1">SUM(Tracking[Amount $] * (Tracking[Type] = CC_Type) * (YEAR(Tracking[Effective Date]) = Selected_Year) * (MONTH(Tracking[Effective Date]) = CC_Month_Number))</f>
        <v>0</v>
      </c>
      <c r="K68" s="93" cm="1">
        <f t="array" aca="1" ref="K68" ca="1">INDEX('Budget Planning'!$E:$EM, Expenses_Total_Row, MATCH(DATE(Selected_Year,CC_Month_Number,1), 'Budget Planning'!$E$9:$EM$9,0) )</f>
        <v>0</v>
      </c>
      <c r="L68" s="93">
        <f ca="1" xml:space="preserve"> CC_Budget - CC_Tracked_USD</f>
        <v>0</v>
      </c>
      <c r="M68" s="93">
        <f ca="1">CC_In_Focus * CC_Show_Type * MIN(CC_Tracked_USD,CC_Budget)</f>
        <v>0</v>
      </c>
      <c r="N68" s="93">
        <f ca="1">CC_In_Focus * CC_Show_Type * CC_Show_Remaining_Budget * IF(CC_Delta &gt; 0, CC_Delta,0)</f>
        <v>0</v>
      </c>
      <c r="O68" s="93">
        <f ca="1">CC_In_Focus * CC_Show_Type * IF(CC_Delta &lt; 0, ABS(CC_Delta), 0)</f>
        <v>0</v>
      </c>
      <c r="P68" s="93">
        <f ca="1">NOT(CC_In_Focus) * CC_Show_Type * MIN(CC_Tracked_USD,CC_Budget)</f>
        <v>0</v>
      </c>
      <c r="Q68" s="93">
        <f ca="1">NOT(CC_In_Focus) * CC_Show_Type * CC_Show_Remaining_Budget * IF(CC_Delta &gt; 0, CC_Delta,0)</f>
        <v>0</v>
      </c>
      <c r="R68" s="93">
        <f ca="1">NOT(CC_In_Focus) * CC_Show_Type * IF(CC_Delta &lt; 0, ABS(CC_Delta), 0)</f>
        <v>0</v>
      </c>
    </row>
    <row r="69" spans="4:18" x14ac:dyDescent="0.25">
      <c r="D69" s="120"/>
      <c r="E69" s="91" t="s">
        <v>50</v>
      </c>
      <c r="F69" s="91">
        <f t="shared" ref="F69" ca="1" si="17">MONTH(D67)</f>
        <v>3</v>
      </c>
      <c r="G69" s="91">
        <f ca="1">IF(Selected_Period = "Total Year",1, IF(Selected_Period = CC_Month_Number, 1, 0))</f>
        <v>0</v>
      </c>
      <c r="H69" s="91">
        <f t="shared" ref="H69" si="18">1*$E$55</f>
        <v>1</v>
      </c>
      <c r="I69" s="91">
        <f t="shared" si="7"/>
        <v>1</v>
      </c>
      <c r="J69" s="93" cm="1">
        <f t="array" aca="1" ref="J69" ca="1">SUM(Tracking[Amount $] * (Tracking[Type] = CC_Type) * (YEAR(Tracking[Effective Date]) = Selected_Year) * (MONTH(Tracking[Effective Date]) = CC_Month_Number))</f>
        <v>0</v>
      </c>
      <c r="K69" s="93" cm="1">
        <f t="array" aca="1" ref="K69" ca="1">INDEX('Budget Planning'!$E:$EM, Savings_Total_Row, MATCH(DATE(Selected_Year,CC_Month_Number,1), 'Budget Planning'!$E$9:$EM$9,0) )</f>
        <v>0</v>
      </c>
      <c r="L69" s="93">
        <f ca="1" xml:space="preserve"> CC_Budget - CC_Tracked_USD</f>
        <v>0</v>
      </c>
      <c r="M69" s="93">
        <f ca="1">CC_In_Focus * CC_Show_Type * MIN(CC_Tracked_USD,CC_Budget)</f>
        <v>0</v>
      </c>
      <c r="N69" s="93">
        <f ca="1">CC_In_Focus * CC_Show_Type * CC_Show_Remaining_Budget * IF(CC_Delta &gt; 0, CC_Delta,0)</f>
        <v>0</v>
      </c>
      <c r="O69" s="93">
        <f ca="1">CC_In_Focus * CC_Show_Type * IF(CC_Delta &lt; 0, ABS(CC_Delta), 0)</f>
        <v>0</v>
      </c>
      <c r="P69" s="93">
        <f ca="1">NOT(CC_In_Focus) * CC_Show_Type * MIN(CC_Tracked_USD,CC_Budget)</f>
        <v>0</v>
      </c>
      <c r="Q69" s="93">
        <f ca="1">NOT(CC_In_Focus) * CC_Show_Type * CC_Show_Remaining_Budget * IF(CC_Delta &gt; 0, CC_Delta,0)</f>
        <v>0</v>
      </c>
      <c r="R69" s="93">
        <f ca="1">NOT(CC_In_Focus) * CC_Show_Type * IF(CC_Delta &lt; 0, ABS(CC_Delta), 0)</f>
        <v>0</v>
      </c>
    </row>
    <row r="70" spans="4:18" x14ac:dyDescent="0.25">
      <c r="D70" s="121"/>
      <c r="E70" s="92"/>
      <c r="F70" s="92"/>
      <c r="G70" s="92"/>
      <c r="H70" s="92"/>
      <c r="I70" s="92"/>
      <c r="J70" s="96"/>
      <c r="K70" s="96"/>
      <c r="L70" s="96"/>
      <c r="M70" s="92"/>
      <c r="N70" s="92"/>
      <c r="O70" s="92"/>
      <c r="P70" s="92"/>
      <c r="Q70" s="92"/>
      <c r="R70" s="92"/>
    </row>
    <row r="71" spans="4:18" x14ac:dyDescent="0.25">
      <c r="D71" s="119">
        <f ca="1">DATE(Selected_Year,4,1)</f>
        <v>46113</v>
      </c>
      <c r="E71" s="90" t="s">
        <v>20</v>
      </c>
      <c r="F71" s="91">
        <f t="shared" ref="F71" ca="1" si="19">MONTH(D71)</f>
        <v>4</v>
      </c>
      <c r="G71" s="91">
        <f ca="1">IF(Selected_Period = "Total Year",1, IF(Selected_Period = CC_Month_Number, 1, 0))</f>
        <v>0</v>
      </c>
      <c r="H71" s="91">
        <f t="shared" ref="H71" si="20">1*$E$53</f>
        <v>1</v>
      </c>
      <c r="I71" s="91">
        <f t="shared" ref="I71" si="21">1*$E$56</f>
        <v>1</v>
      </c>
      <c r="J71" s="93" cm="1">
        <f t="array" aca="1" ref="J71" ca="1">SUM(Tracking[Amount $] * (Tracking[Type] = CC_Type) * (YEAR(Tracking[Effective Date]) = Selected_Year) * (MONTH(Tracking[Effective Date]) = CC_Month_Number))</f>
        <v>0</v>
      </c>
      <c r="K71" s="93" cm="1">
        <f t="array" aca="1" ref="K71" ca="1">INDEX('Budget Planning'!$E:$EM, Income_Total_Row, MATCH(DATE(Selected_Year,CC_Month_Number,1), 'Budget Planning'!$E$9:$EM$9,0) )</f>
        <v>0</v>
      </c>
      <c r="L71" s="93">
        <f ca="1" xml:space="preserve"> CC_Budget - CC_Tracked_USD</f>
        <v>0</v>
      </c>
      <c r="M71" s="93">
        <f ca="1">CC_In_Focus * CC_Show_Type * MIN(CC_Tracked_USD,CC_Budget)</f>
        <v>0</v>
      </c>
      <c r="N71" s="93">
        <f ca="1">CC_In_Focus * CC_Show_Type * CC_Show_Remaining_Budget * IF(CC_Delta &gt; 0, CC_Delta,0)</f>
        <v>0</v>
      </c>
      <c r="O71" s="93">
        <f ca="1">CC_In_Focus * CC_Show_Type * IF(CC_Delta &lt; 0, ABS(CC_Delta), 0)</f>
        <v>0</v>
      </c>
      <c r="P71" s="93">
        <f ca="1">NOT(CC_In_Focus) * CC_Show_Type * MIN(CC_Tracked_USD,CC_Budget)</f>
        <v>0</v>
      </c>
      <c r="Q71" s="93">
        <f ca="1">NOT(CC_In_Focus) * CC_Show_Type * CC_Show_Remaining_Budget * IF(CC_Delta &gt; 0, CC_Delta,0)</f>
        <v>0</v>
      </c>
      <c r="R71" s="93">
        <f ca="1">NOT(CC_In_Focus) * CC_Show_Type * IF(CC_Delta &lt; 0, ABS(CC_Delta), 0)</f>
        <v>0</v>
      </c>
    </row>
    <row r="72" spans="4:18" x14ac:dyDescent="0.25">
      <c r="D72" s="120"/>
      <c r="E72" s="91" t="s">
        <v>27</v>
      </c>
      <c r="F72" s="91">
        <f t="shared" ref="F72" ca="1" si="22">MONTH(D71)</f>
        <v>4</v>
      </c>
      <c r="G72" s="91">
        <f ca="1">IF(Selected_Period = "Total Year",1, IF(Selected_Period = CC_Month_Number, 1, 0))</f>
        <v>0</v>
      </c>
      <c r="H72" s="91">
        <f t="shared" ref="H72" si="23">1*$E$54</f>
        <v>1</v>
      </c>
      <c r="I72" s="91">
        <f t="shared" si="7"/>
        <v>1</v>
      </c>
      <c r="J72" s="93" cm="1">
        <f t="array" aca="1" ref="J72" ca="1">SUM(Tracking[Amount $] * (Tracking[Type] = CC_Type) * (YEAR(Tracking[Effective Date]) = Selected_Year) * (MONTH(Tracking[Effective Date]) = CC_Month_Number))</f>
        <v>0</v>
      </c>
      <c r="K72" s="93" cm="1">
        <f t="array" aca="1" ref="K72" ca="1">INDEX('Budget Planning'!$E:$EM, Expenses_Total_Row, MATCH(DATE(Selected_Year,CC_Month_Number,1), 'Budget Planning'!$E$9:$EM$9,0) )</f>
        <v>0</v>
      </c>
      <c r="L72" s="93">
        <f ca="1" xml:space="preserve"> CC_Budget - CC_Tracked_USD</f>
        <v>0</v>
      </c>
      <c r="M72" s="93">
        <f ca="1">CC_In_Focus * CC_Show_Type * MIN(CC_Tracked_USD,CC_Budget)</f>
        <v>0</v>
      </c>
      <c r="N72" s="93">
        <f ca="1">CC_In_Focus * CC_Show_Type * CC_Show_Remaining_Budget * IF(CC_Delta &gt; 0, CC_Delta,0)</f>
        <v>0</v>
      </c>
      <c r="O72" s="93">
        <f ca="1">CC_In_Focus * CC_Show_Type * IF(CC_Delta &lt; 0, ABS(CC_Delta), 0)</f>
        <v>0</v>
      </c>
      <c r="P72" s="93">
        <f ca="1">NOT(CC_In_Focus) * CC_Show_Type * MIN(CC_Tracked_USD,CC_Budget)</f>
        <v>0</v>
      </c>
      <c r="Q72" s="93">
        <f ca="1">NOT(CC_In_Focus) * CC_Show_Type * CC_Show_Remaining_Budget * IF(CC_Delta &gt; 0, CC_Delta,0)</f>
        <v>0</v>
      </c>
      <c r="R72" s="93">
        <f ca="1">NOT(CC_In_Focus) * CC_Show_Type * IF(CC_Delta &lt; 0, ABS(CC_Delta), 0)</f>
        <v>0</v>
      </c>
    </row>
    <row r="73" spans="4:18" x14ac:dyDescent="0.25">
      <c r="D73" s="120"/>
      <c r="E73" s="91" t="s">
        <v>50</v>
      </c>
      <c r="F73" s="91">
        <f t="shared" ref="F73" ca="1" si="24">MONTH(D71)</f>
        <v>4</v>
      </c>
      <c r="G73" s="91">
        <f ca="1">IF(Selected_Period = "Total Year",1, IF(Selected_Period = CC_Month_Number, 1, 0))</f>
        <v>0</v>
      </c>
      <c r="H73" s="91">
        <f t="shared" ref="H73" si="25">1*$E$55</f>
        <v>1</v>
      </c>
      <c r="I73" s="91">
        <f t="shared" si="7"/>
        <v>1</v>
      </c>
      <c r="J73" s="93" cm="1">
        <f t="array" aca="1" ref="J73" ca="1">SUM(Tracking[Amount $] * (Tracking[Type] = CC_Type) * (YEAR(Tracking[Effective Date]) = Selected_Year) * (MONTH(Tracking[Effective Date]) = CC_Month_Number))</f>
        <v>0</v>
      </c>
      <c r="K73" s="93" cm="1">
        <f t="array" aca="1" ref="K73" ca="1">INDEX('Budget Planning'!$E:$EM, Savings_Total_Row, MATCH(DATE(Selected_Year,CC_Month_Number,1), 'Budget Planning'!$E$9:$EM$9,0) )</f>
        <v>0</v>
      </c>
      <c r="L73" s="93">
        <f ca="1" xml:space="preserve"> CC_Budget - CC_Tracked_USD</f>
        <v>0</v>
      </c>
      <c r="M73" s="93">
        <f ca="1">CC_In_Focus * CC_Show_Type * MIN(CC_Tracked_USD,CC_Budget)</f>
        <v>0</v>
      </c>
      <c r="N73" s="93">
        <f ca="1">CC_In_Focus * CC_Show_Type * CC_Show_Remaining_Budget * IF(CC_Delta &gt; 0, CC_Delta,0)</f>
        <v>0</v>
      </c>
      <c r="O73" s="93">
        <f ca="1">CC_In_Focus * CC_Show_Type * IF(CC_Delta &lt; 0, ABS(CC_Delta), 0)</f>
        <v>0</v>
      </c>
      <c r="P73" s="93">
        <f ca="1">NOT(CC_In_Focus) * CC_Show_Type * MIN(CC_Tracked_USD,CC_Budget)</f>
        <v>0</v>
      </c>
      <c r="Q73" s="93">
        <f ca="1">NOT(CC_In_Focus) * CC_Show_Type * CC_Show_Remaining_Budget * IF(CC_Delta &gt; 0, CC_Delta,0)</f>
        <v>0</v>
      </c>
      <c r="R73" s="93">
        <f ca="1">NOT(CC_In_Focus) * CC_Show_Type * IF(CC_Delta &lt; 0, ABS(CC_Delta), 0)</f>
        <v>0</v>
      </c>
    </row>
    <row r="74" spans="4:18" x14ac:dyDescent="0.25">
      <c r="D74" s="121"/>
      <c r="E74" s="92"/>
      <c r="F74" s="92"/>
      <c r="G74" s="92"/>
      <c r="H74" s="92"/>
      <c r="I74" s="92"/>
      <c r="J74" s="96"/>
      <c r="K74" s="96"/>
      <c r="L74" s="96"/>
      <c r="M74" s="92"/>
      <c r="N74" s="92"/>
      <c r="O74" s="92"/>
      <c r="P74" s="92"/>
      <c r="Q74" s="92"/>
      <c r="R74" s="92"/>
    </row>
    <row r="75" spans="4:18" x14ac:dyDescent="0.25">
      <c r="D75" s="119">
        <f ca="1">DATE(Selected_Year,5,1)</f>
        <v>46143</v>
      </c>
      <c r="E75" s="90" t="s">
        <v>20</v>
      </c>
      <c r="F75" s="91">
        <f t="shared" ref="F75" ca="1" si="26">MONTH(D75)</f>
        <v>5</v>
      </c>
      <c r="G75" s="91">
        <f ca="1">IF(Selected_Period = "Total Year",1, IF(Selected_Period = CC_Month_Number, 1, 0))</f>
        <v>0</v>
      </c>
      <c r="H75" s="91">
        <f t="shared" ref="H75" si="27">1*$E$53</f>
        <v>1</v>
      </c>
      <c r="I75" s="91">
        <f t="shared" ref="I75" si="28">1*$E$56</f>
        <v>1</v>
      </c>
      <c r="J75" s="93" cm="1">
        <f t="array" aca="1" ref="J75" ca="1">SUM(Tracking[Amount $] * (Tracking[Type] = CC_Type) * (YEAR(Tracking[Effective Date]) = Selected_Year) * (MONTH(Tracking[Effective Date]) = CC_Month_Number))</f>
        <v>0</v>
      </c>
      <c r="K75" s="93" cm="1">
        <f t="array" aca="1" ref="K75" ca="1">INDEX('Budget Planning'!$E:$EM, Income_Total_Row, MATCH(DATE(Selected_Year,CC_Month_Number,1), 'Budget Planning'!$E$9:$EM$9,0) )</f>
        <v>0</v>
      </c>
      <c r="L75" s="93">
        <f ca="1" xml:space="preserve"> CC_Budget - CC_Tracked_USD</f>
        <v>0</v>
      </c>
      <c r="M75" s="93">
        <f ca="1">CC_In_Focus * CC_Show_Type * MIN(CC_Tracked_USD,CC_Budget)</f>
        <v>0</v>
      </c>
      <c r="N75" s="93">
        <f ca="1">CC_In_Focus * CC_Show_Type * CC_Show_Remaining_Budget * IF(CC_Delta &gt; 0, CC_Delta,0)</f>
        <v>0</v>
      </c>
      <c r="O75" s="93">
        <f ca="1">CC_In_Focus * CC_Show_Type * IF(CC_Delta &lt; 0, ABS(CC_Delta), 0)</f>
        <v>0</v>
      </c>
      <c r="P75" s="93">
        <f ca="1">NOT(CC_In_Focus) * CC_Show_Type * MIN(CC_Tracked_USD,CC_Budget)</f>
        <v>0</v>
      </c>
      <c r="Q75" s="93">
        <f ca="1">NOT(CC_In_Focus) * CC_Show_Type * CC_Show_Remaining_Budget * IF(CC_Delta &gt; 0, CC_Delta,0)</f>
        <v>0</v>
      </c>
      <c r="R75" s="93">
        <f ca="1">NOT(CC_In_Focus) * CC_Show_Type * IF(CC_Delta &lt; 0, ABS(CC_Delta), 0)</f>
        <v>0</v>
      </c>
    </row>
    <row r="76" spans="4:18" x14ac:dyDescent="0.25">
      <c r="D76" s="120"/>
      <c r="E76" s="91" t="s">
        <v>27</v>
      </c>
      <c r="F76" s="91">
        <f t="shared" ref="F76" ca="1" si="29">MONTH(D75)</f>
        <v>5</v>
      </c>
      <c r="G76" s="91">
        <f ca="1">IF(Selected_Period = "Total Year",1, IF(Selected_Period = CC_Month_Number, 1, 0))</f>
        <v>0</v>
      </c>
      <c r="H76" s="91">
        <f t="shared" ref="H76" si="30">1*$E$54</f>
        <v>1</v>
      </c>
      <c r="I76" s="91">
        <f t="shared" si="7"/>
        <v>1</v>
      </c>
      <c r="J76" s="93" cm="1">
        <f t="array" aca="1" ref="J76" ca="1">SUM(Tracking[Amount $] * (Tracking[Type] = CC_Type) * (YEAR(Tracking[Effective Date]) = Selected_Year) * (MONTH(Tracking[Effective Date]) = CC_Month_Number))</f>
        <v>0</v>
      </c>
      <c r="K76" s="93" cm="1">
        <f t="array" aca="1" ref="K76" ca="1">INDEX('Budget Planning'!$E:$EM, Expenses_Total_Row, MATCH(DATE(Selected_Year,CC_Month_Number,1), 'Budget Planning'!$E$9:$EM$9,0) )</f>
        <v>0</v>
      </c>
      <c r="L76" s="93">
        <f ca="1" xml:space="preserve"> CC_Budget - CC_Tracked_USD</f>
        <v>0</v>
      </c>
      <c r="M76" s="93">
        <f ca="1">CC_In_Focus * CC_Show_Type * MIN(CC_Tracked_USD,CC_Budget)</f>
        <v>0</v>
      </c>
      <c r="N76" s="93">
        <f ca="1">CC_In_Focus * CC_Show_Type * CC_Show_Remaining_Budget * IF(CC_Delta &gt; 0, CC_Delta,0)</f>
        <v>0</v>
      </c>
      <c r="O76" s="93">
        <f ca="1">CC_In_Focus * CC_Show_Type * IF(CC_Delta &lt; 0, ABS(CC_Delta), 0)</f>
        <v>0</v>
      </c>
      <c r="P76" s="93">
        <f ca="1">NOT(CC_In_Focus) * CC_Show_Type * MIN(CC_Tracked_USD,CC_Budget)</f>
        <v>0</v>
      </c>
      <c r="Q76" s="93">
        <f ca="1">NOT(CC_In_Focus) * CC_Show_Type * CC_Show_Remaining_Budget * IF(CC_Delta &gt; 0, CC_Delta,0)</f>
        <v>0</v>
      </c>
      <c r="R76" s="93">
        <f ca="1">NOT(CC_In_Focus) * CC_Show_Type * IF(CC_Delta &lt; 0, ABS(CC_Delta), 0)</f>
        <v>0</v>
      </c>
    </row>
    <row r="77" spans="4:18" x14ac:dyDescent="0.25">
      <c r="D77" s="120"/>
      <c r="E77" s="91" t="s">
        <v>50</v>
      </c>
      <c r="F77" s="91">
        <f t="shared" ref="F77" ca="1" si="31">MONTH(D75)</f>
        <v>5</v>
      </c>
      <c r="G77" s="91">
        <f ca="1">IF(Selected_Period = "Total Year",1, IF(Selected_Period = CC_Month_Number, 1, 0))</f>
        <v>0</v>
      </c>
      <c r="H77" s="91">
        <f t="shared" ref="H77" si="32">1*$E$55</f>
        <v>1</v>
      </c>
      <c r="I77" s="91">
        <f t="shared" si="7"/>
        <v>1</v>
      </c>
      <c r="J77" s="93" cm="1">
        <f t="array" aca="1" ref="J77" ca="1">SUM(Tracking[Amount $] * (Tracking[Type] = CC_Type) * (YEAR(Tracking[Effective Date]) = Selected_Year) * (MONTH(Tracking[Effective Date]) = CC_Month_Number))</f>
        <v>0</v>
      </c>
      <c r="K77" s="93" cm="1">
        <f t="array" aca="1" ref="K77" ca="1">INDEX('Budget Planning'!$E:$EM, Savings_Total_Row, MATCH(DATE(Selected_Year,CC_Month_Number,1), 'Budget Planning'!$E$9:$EM$9,0) )</f>
        <v>0</v>
      </c>
      <c r="L77" s="93">
        <f ca="1" xml:space="preserve"> CC_Budget - CC_Tracked_USD</f>
        <v>0</v>
      </c>
      <c r="M77" s="93">
        <f ca="1">CC_In_Focus * CC_Show_Type * MIN(CC_Tracked_USD,CC_Budget)</f>
        <v>0</v>
      </c>
      <c r="N77" s="93">
        <f ca="1">CC_In_Focus * CC_Show_Type * CC_Show_Remaining_Budget * IF(CC_Delta &gt; 0, CC_Delta,0)</f>
        <v>0</v>
      </c>
      <c r="O77" s="93">
        <f ca="1">CC_In_Focus * CC_Show_Type * IF(CC_Delta &lt; 0, ABS(CC_Delta), 0)</f>
        <v>0</v>
      </c>
      <c r="P77" s="93">
        <f ca="1">NOT(CC_In_Focus) * CC_Show_Type * MIN(CC_Tracked_USD,CC_Budget)</f>
        <v>0</v>
      </c>
      <c r="Q77" s="93">
        <f ca="1">NOT(CC_In_Focus) * CC_Show_Type * CC_Show_Remaining_Budget * IF(CC_Delta &gt; 0, CC_Delta,0)</f>
        <v>0</v>
      </c>
      <c r="R77" s="93">
        <f ca="1">NOT(CC_In_Focus) * CC_Show_Type * IF(CC_Delta &lt; 0, ABS(CC_Delta), 0)</f>
        <v>0</v>
      </c>
    </row>
    <row r="78" spans="4:18" x14ac:dyDescent="0.25">
      <c r="D78" s="121"/>
      <c r="E78" s="92"/>
      <c r="F78" s="92"/>
      <c r="G78" s="92"/>
      <c r="H78" s="92"/>
      <c r="I78" s="92"/>
      <c r="J78" s="96"/>
      <c r="K78" s="96"/>
      <c r="L78" s="96"/>
      <c r="M78" s="92"/>
      <c r="N78" s="92"/>
      <c r="O78" s="92"/>
      <c r="P78" s="92"/>
      <c r="Q78" s="92"/>
      <c r="R78" s="92"/>
    </row>
    <row r="79" spans="4:18" x14ac:dyDescent="0.25">
      <c r="D79" s="119">
        <f ca="1">DATE(Selected_Year,6,1)</f>
        <v>46174</v>
      </c>
      <c r="E79" s="90" t="s">
        <v>20</v>
      </c>
      <c r="F79" s="91">
        <f t="shared" ref="F79" ca="1" si="33">MONTH(D79)</f>
        <v>6</v>
      </c>
      <c r="G79" s="91">
        <f ca="1">IF(Selected_Period = "Total Year",1, IF(Selected_Period = CC_Month_Number, 1, 0))</f>
        <v>0</v>
      </c>
      <c r="H79" s="91">
        <f t="shared" ref="H79" si="34">1*$E$53</f>
        <v>1</v>
      </c>
      <c r="I79" s="91">
        <f t="shared" ref="I79" si="35">1*$E$56</f>
        <v>1</v>
      </c>
      <c r="J79" s="93" cm="1">
        <f t="array" aca="1" ref="J79" ca="1">SUM(Tracking[Amount $] * (Tracking[Type] = CC_Type) * (YEAR(Tracking[Effective Date]) = Selected_Year) * (MONTH(Tracking[Effective Date]) = CC_Month_Number))</f>
        <v>0</v>
      </c>
      <c r="K79" s="93" cm="1">
        <f t="array" aca="1" ref="K79" ca="1">INDEX('Budget Planning'!$E:$EM, Income_Total_Row, MATCH(DATE(Selected_Year,CC_Month_Number,1), 'Budget Planning'!$E$9:$EM$9,0) )</f>
        <v>0</v>
      </c>
      <c r="L79" s="93">
        <f ca="1" xml:space="preserve"> CC_Budget - CC_Tracked_USD</f>
        <v>0</v>
      </c>
      <c r="M79" s="93">
        <f ca="1">CC_In_Focus * CC_Show_Type * MIN(CC_Tracked_USD,CC_Budget)</f>
        <v>0</v>
      </c>
      <c r="N79" s="93">
        <f ca="1">CC_In_Focus * CC_Show_Type * CC_Show_Remaining_Budget * IF(CC_Delta &gt; 0, CC_Delta,0)</f>
        <v>0</v>
      </c>
      <c r="O79" s="93">
        <f ca="1">CC_In_Focus * CC_Show_Type * IF(CC_Delta &lt; 0, ABS(CC_Delta), 0)</f>
        <v>0</v>
      </c>
      <c r="P79" s="93">
        <f ca="1">NOT(CC_In_Focus) * CC_Show_Type * MIN(CC_Tracked_USD,CC_Budget)</f>
        <v>0</v>
      </c>
      <c r="Q79" s="93">
        <f ca="1">NOT(CC_In_Focus) * CC_Show_Type * CC_Show_Remaining_Budget * IF(CC_Delta &gt; 0, CC_Delta,0)</f>
        <v>0</v>
      </c>
      <c r="R79" s="93">
        <f ca="1">NOT(CC_In_Focus) * CC_Show_Type * IF(CC_Delta &lt; 0, ABS(CC_Delta), 0)</f>
        <v>0</v>
      </c>
    </row>
    <row r="80" spans="4:18" x14ac:dyDescent="0.25">
      <c r="D80" s="120"/>
      <c r="E80" s="91" t="s">
        <v>27</v>
      </c>
      <c r="F80" s="91">
        <f t="shared" ref="F80" ca="1" si="36">MONTH(D79)</f>
        <v>6</v>
      </c>
      <c r="G80" s="91">
        <f ca="1">IF(Selected_Period = "Total Year",1, IF(Selected_Period = CC_Month_Number, 1, 0))</f>
        <v>0</v>
      </c>
      <c r="H80" s="91">
        <f t="shared" ref="H80" si="37">1*$E$54</f>
        <v>1</v>
      </c>
      <c r="I80" s="91">
        <f t="shared" si="7"/>
        <v>1</v>
      </c>
      <c r="J80" s="93" cm="1">
        <f t="array" aca="1" ref="J80" ca="1">SUM(Tracking[Amount $] * (Tracking[Type] = CC_Type) * (YEAR(Tracking[Effective Date]) = Selected_Year) * (MONTH(Tracking[Effective Date]) = CC_Month_Number))</f>
        <v>0</v>
      </c>
      <c r="K80" s="93" cm="1">
        <f t="array" aca="1" ref="K80" ca="1">INDEX('Budget Planning'!$E:$EM, Expenses_Total_Row, MATCH(DATE(Selected_Year,CC_Month_Number,1), 'Budget Planning'!$E$9:$EM$9,0) )</f>
        <v>0</v>
      </c>
      <c r="L80" s="93">
        <f ca="1" xml:space="preserve"> CC_Budget - CC_Tracked_USD</f>
        <v>0</v>
      </c>
      <c r="M80" s="93">
        <f ca="1">CC_In_Focus * CC_Show_Type * MIN(CC_Tracked_USD,CC_Budget)</f>
        <v>0</v>
      </c>
      <c r="N80" s="93">
        <f ca="1">CC_In_Focus * CC_Show_Type * CC_Show_Remaining_Budget * IF(CC_Delta &gt; 0, CC_Delta,0)</f>
        <v>0</v>
      </c>
      <c r="O80" s="93">
        <f ca="1">CC_In_Focus * CC_Show_Type * IF(CC_Delta &lt; 0, ABS(CC_Delta), 0)</f>
        <v>0</v>
      </c>
      <c r="P80" s="93">
        <f ca="1">NOT(CC_In_Focus) * CC_Show_Type * MIN(CC_Tracked_USD,CC_Budget)</f>
        <v>0</v>
      </c>
      <c r="Q80" s="93">
        <f ca="1">NOT(CC_In_Focus) * CC_Show_Type * CC_Show_Remaining_Budget * IF(CC_Delta &gt; 0, CC_Delta,0)</f>
        <v>0</v>
      </c>
      <c r="R80" s="93">
        <f ca="1">NOT(CC_In_Focus) * CC_Show_Type * IF(CC_Delta &lt; 0, ABS(CC_Delta), 0)</f>
        <v>0</v>
      </c>
    </row>
    <row r="81" spans="4:18" x14ac:dyDescent="0.25">
      <c r="D81" s="120"/>
      <c r="E81" s="91" t="s">
        <v>50</v>
      </c>
      <c r="F81" s="91">
        <f t="shared" ref="F81" ca="1" si="38">MONTH(D79)</f>
        <v>6</v>
      </c>
      <c r="G81" s="91">
        <f ca="1">IF(Selected_Period = "Total Year",1, IF(Selected_Period = CC_Month_Number, 1, 0))</f>
        <v>0</v>
      </c>
      <c r="H81" s="91">
        <f t="shared" ref="H81" si="39">1*$E$55</f>
        <v>1</v>
      </c>
      <c r="I81" s="91">
        <f t="shared" si="7"/>
        <v>1</v>
      </c>
      <c r="J81" s="93" cm="1">
        <f t="array" aca="1" ref="J81" ca="1">SUM(Tracking[Amount $] * (Tracking[Type] = CC_Type) * (YEAR(Tracking[Effective Date]) = Selected_Year) * (MONTH(Tracking[Effective Date]) = CC_Month_Number))</f>
        <v>0</v>
      </c>
      <c r="K81" s="93" cm="1">
        <f t="array" aca="1" ref="K81" ca="1">INDEX('Budget Planning'!$E:$EM, Savings_Total_Row, MATCH(DATE(Selected_Year,CC_Month_Number,1), 'Budget Planning'!$E$9:$EM$9,0) )</f>
        <v>0</v>
      </c>
      <c r="L81" s="93">
        <f ca="1" xml:space="preserve"> CC_Budget - CC_Tracked_USD</f>
        <v>0</v>
      </c>
      <c r="M81" s="93">
        <f ca="1">CC_In_Focus * CC_Show_Type * MIN(CC_Tracked_USD,CC_Budget)</f>
        <v>0</v>
      </c>
      <c r="N81" s="93">
        <f ca="1">CC_In_Focus * CC_Show_Type * CC_Show_Remaining_Budget * IF(CC_Delta &gt; 0, CC_Delta,0)</f>
        <v>0</v>
      </c>
      <c r="O81" s="93">
        <f ca="1">CC_In_Focus * CC_Show_Type * IF(CC_Delta &lt; 0, ABS(CC_Delta), 0)</f>
        <v>0</v>
      </c>
      <c r="P81" s="93">
        <f ca="1">NOT(CC_In_Focus) * CC_Show_Type * MIN(CC_Tracked_USD,CC_Budget)</f>
        <v>0</v>
      </c>
      <c r="Q81" s="93">
        <f ca="1">NOT(CC_In_Focus) * CC_Show_Type * CC_Show_Remaining_Budget * IF(CC_Delta &gt; 0, CC_Delta,0)</f>
        <v>0</v>
      </c>
      <c r="R81" s="93">
        <f ca="1">NOT(CC_In_Focus) * CC_Show_Type * IF(CC_Delta &lt; 0, ABS(CC_Delta), 0)</f>
        <v>0</v>
      </c>
    </row>
    <row r="82" spans="4:18" x14ac:dyDescent="0.25">
      <c r="D82" s="121"/>
      <c r="E82" s="92"/>
      <c r="F82" s="92"/>
      <c r="G82" s="92"/>
      <c r="H82" s="92"/>
      <c r="I82" s="92"/>
      <c r="J82" s="96"/>
      <c r="K82" s="96"/>
      <c r="L82" s="96"/>
      <c r="M82" s="92"/>
      <c r="N82" s="92"/>
      <c r="O82" s="92"/>
      <c r="P82" s="92"/>
      <c r="Q82" s="92"/>
      <c r="R82" s="92"/>
    </row>
    <row r="83" spans="4:18" x14ac:dyDescent="0.25">
      <c r="D83" s="119">
        <f ca="1">DATE(Selected_Year,7,1)</f>
        <v>46204</v>
      </c>
      <c r="E83" s="90" t="s">
        <v>20</v>
      </c>
      <c r="F83" s="91">
        <f t="shared" ref="F83" ca="1" si="40">MONTH(D83)</f>
        <v>7</v>
      </c>
      <c r="G83" s="91">
        <f ca="1">IF(Selected_Period = "Total Year",1, IF(Selected_Period = CC_Month_Number, 1, 0))</f>
        <v>0</v>
      </c>
      <c r="H83" s="91">
        <f t="shared" ref="H83" si="41">1*$E$53</f>
        <v>1</v>
      </c>
      <c r="I83" s="91">
        <f t="shared" ref="I83" si="42">1*$E$56</f>
        <v>1</v>
      </c>
      <c r="J83" s="93" cm="1">
        <f t="array" aca="1" ref="J83" ca="1">SUM(Tracking[Amount $] * (Tracking[Type] = CC_Type) * (YEAR(Tracking[Effective Date]) = Selected_Year) * (MONTH(Tracking[Effective Date]) = CC_Month_Number))</f>
        <v>0</v>
      </c>
      <c r="K83" s="93" cm="1">
        <f t="array" aca="1" ref="K83" ca="1">INDEX('Budget Planning'!$E:$EM, Income_Total_Row, MATCH(DATE(Selected_Year,CC_Month_Number,1), 'Budget Planning'!$E$9:$EM$9,0) )</f>
        <v>0</v>
      </c>
      <c r="L83" s="93">
        <f ca="1" xml:space="preserve"> CC_Budget - CC_Tracked_USD</f>
        <v>0</v>
      </c>
      <c r="M83" s="93">
        <f ca="1">CC_In_Focus * CC_Show_Type * MIN(CC_Tracked_USD,CC_Budget)</f>
        <v>0</v>
      </c>
      <c r="N83" s="93">
        <f ca="1">CC_In_Focus * CC_Show_Type * CC_Show_Remaining_Budget * IF(CC_Delta &gt; 0, CC_Delta,0)</f>
        <v>0</v>
      </c>
      <c r="O83" s="93">
        <f ca="1">CC_In_Focus * CC_Show_Type * IF(CC_Delta &lt; 0, ABS(CC_Delta), 0)</f>
        <v>0</v>
      </c>
      <c r="P83" s="93">
        <f ca="1">NOT(CC_In_Focus) * CC_Show_Type * MIN(CC_Tracked_USD,CC_Budget)</f>
        <v>0</v>
      </c>
      <c r="Q83" s="93">
        <f ca="1">NOT(CC_In_Focus) * CC_Show_Type * CC_Show_Remaining_Budget * IF(CC_Delta &gt; 0, CC_Delta,0)</f>
        <v>0</v>
      </c>
      <c r="R83" s="93">
        <f ca="1">NOT(CC_In_Focus) * CC_Show_Type * IF(CC_Delta &lt; 0, ABS(CC_Delta), 0)</f>
        <v>0</v>
      </c>
    </row>
    <row r="84" spans="4:18" x14ac:dyDescent="0.25">
      <c r="D84" s="120"/>
      <c r="E84" s="91" t="s">
        <v>27</v>
      </c>
      <c r="F84" s="91">
        <f t="shared" ref="F84" ca="1" si="43">MONTH(D83)</f>
        <v>7</v>
      </c>
      <c r="G84" s="91">
        <f ca="1">IF(Selected_Period = "Total Year",1, IF(Selected_Period = CC_Month_Number, 1, 0))</f>
        <v>0</v>
      </c>
      <c r="H84" s="91">
        <f t="shared" ref="H84" si="44">1*$E$54</f>
        <v>1</v>
      </c>
      <c r="I84" s="91">
        <f t="shared" si="7"/>
        <v>1</v>
      </c>
      <c r="J84" s="93" cm="1">
        <f t="array" aca="1" ref="J84" ca="1">SUM(Tracking[Amount $] * (Tracking[Type] = CC_Type) * (YEAR(Tracking[Effective Date]) = Selected_Year) * (MONTH(Tracking[Effective Date]) = CC_Month_Number))</f>
        <v>0</v>
      </c>
      <c r="K84" s="93" cm="1">
        <f t="array" aca="1" ref="K84" ca="1">INDEX('Budget Planning'!$E:$EM, Expenses_Total_Row, MATCH(DATE(Selected_Year,CC_Month_Number,1), 'Budget Planning'!$E$9:$EM$9,0) )</f>
        <v>0</v>
      </c>
      <c r="L84" s="93">
        <f ca="1" xml:space="preserve"> CC_Budget - CC_Tracked_USD</f>
        <v>0</v>
      </c>
      <c r="M84" s="93">
        <f ca="1">CC_In_Focus * CC_Show_Type * MIN(CC_Tracked_USD,CC_Budget)</f>
        <v>0</v>
      </c>
      <c r="N84" s="93">
        <f ca="1">CC_In_Focus * CC_Show_Type * CC_Show_Remaining_Budget * IF(CC_Delta &gt; 0, CC_Delta,0)</f>
        <v>0</v>
      </c>
      <c r="O84" s="93">
        <f ca="1">CC_In_Focus * CC_Show_Type * IF(CC_Delta &lt; 0, ABS(CC_Delta), 0)</f>
        <v>0</v>
      </c>
      <c r="P84" s="93">
        <f ca="1">NOT(CC_In_Focus) * CC_Show_Type * MIN(CC_Tracked_USD,CC_Budget)</f>
        <v>0</v>
      </c>
      <c r="Q84" s="93">
        <f ca="1">NOT(CC_In_Focus) * CC_Show_Type * CC_Show_Remaining_Budget * IF(CC_Delta &gt; 0, CC_Delta,0)</f>
        <v>0</v>
      </c>
      <c r="R84" s="93">
        <f ca="1">NOT(CC_In_Focus) * CC_Show_Type * IF(CC_Delta &lt; 0, ABS(CC_Delta), 0)</f>
        <v>0</v>
      </c>
    </row>
    <row r="85" spans="4:18" x14ac:dyDescent="0.25">
      <c r="D85" s="120"/>
      <c r="E85" s="91" t="s">
        <v>50</v>
      </c>
      <c r="F85" s="91">
        <f t="shared" ref="F85" ca="1" si="45">MONTH(D83)</f>
        <v>7</v>
      </c>
      <c r="G85" s="91">
        <f ca="1">IF(Selected_Period = "Total Year",1, IF(Selected_Period = CC_Month_Number, 1, 0))</f>
        <v>0</v>
      </c>
      <c r="H85" s="91">
        <f t="shared" ref="H85" si="46">1*$E$55</f>
        <v>1</v>
      </c>
      <c r="I85" s="91">
        <f t="shared" si="7"/>
        <v>1</v>
      </c>
      <c r="J85" s="93" cm="1">
        <f t="array" aca="1" ref="J85" ca="1">SUM(Tracking[Amount $] * (Tracking[Type] = CC_Type) * (YEAR(Tracking[Effective Date]) = Selected_Year) * (MONTH(Tracking[Effective Date]) = CC_Month_Number))</f>
        <v>0</v>
      </c>
      <c r="K85" s="93" cm="1">
        <f t="array" aca="1" ref="K85" ca="1">INDEX('Budget Planning'!$E:$EM, Savings_Total_Row, MATCH(DATE(Selected_Year,CC_Month_Number,1), 'Budget Planning'!$E$9:$EM$9,0) )</f>
        <v>0</v>
      </c>
      <c r="L85" s="93">
        <f ca="1" xml:space="preserve"> CC_Budget - CC_Tracked_USD</f>
        <v>0</v>
      </c>
      <c r="M85" s="93">
        <f ca="1">CC_In_Focus * CC_Show_Type * MIN(CC_Tracked_USD,CC_Budget)</f>
        <v>0</v>
      </c>
      <c r="N85" s="93">
        <f ca="1">CC_In_Focus * CC_Show_Type * CC_Show_Remaining_Budget * IF(CC_Delta &gt; 0, CC_Delta,0)</f>
        <v>0</v>
      </c>
      <c r="O85" s="93">
        <f ca="1">CC_In_Focus * CC_Show_Type * IF(CC_Delta &lt; 0, ABS(CC_Delta), 0)</f>
        <v>0</v>
      </c>
      <c r="P85" s="93">
        <f ca="1">NOT(CC_In_Focus) * CC_Show_Type * MIN(CC_Tracked_USD,CC_Budget)</f>
        <v>0</v>
      </c>
      <c r="Q85" s="93">
        <f ca="1">NOT(CC_In_Focus) * CC_Show_Type * CC_Show_Remaining_Budget * IF(CC_Delta &gt; 0, CC_Delta,0)</f>
        <v>0</v>
      </c>
      <c r="R85" s="93">
        <f ca="1">NOT(CC_In_Focus) * CC_Show_Type * IF(CC_Delta &lt; 0, ABS(CC_Delta), 0)</f>
        <v>0</v>
      </c>
    </row>
    <row r="86" spans="4:18" x14ac:dyDescent="0.25">
      <c r="D86" s="121"/>
      <c r="E86" s="92"/>
      <c r="F86" s="92"/>
      <c r="G86" s="92"/>
      <c r="H86" s="92"/>
      <c r="I86" s="92"/>
      <c r="J86" s="96"/>
      <c r="K86" s="96"/>
      <c r="L86" s="96"/>
      <c r="M86" s="92"/>
      <c r="N86" s="92"/>
      <c r="O86" s="92"/>
      <c r="P86" s="92"/>
      <c r="Q86" s="92"/>
      <c r="R86" s="92"/>
    </row>
    <row r="87" spans="4:18" x14ac:dyDescent="0.25">
      <c r="D87" s="119">
        <f ca="1">DATE(Selected_Year,8,1)</f>
        <v>46235</v>
      </c>
      <c r="E87" s="90" t="s">
        <v>20</v>
      </c>
      <c r="F87" s="91">
        <f t="shared" ref="F87" ca="1" si="47">MONTH(D87)</f>
        <v>8</v>
      </c>
      <c r="G87" s="91">
        <f ca="1">IF(Selected_Period = "Total Year",1, IF(Selected_Period = CC_Month_Number, 1, 0))</f>
        <v>0</v>
      </c>
      <c r="H87" s="91">
        <f t="shared" ref="H87" si="48">1*$E$53</f>
        <v>1</v>
      </c>
      <c r="I87" s="91">
        <f t="shared" ref="I87" si="49">1*$E$56</f>
        <v>1</v>
      </c>
      <c r="J87" s="93" cm="1">
        <f t="array" aca="1" ref="J87" ca="1">SUM(Tracking[Amount $] * (Tracking[Type] = CC_Type) * (YEAR(Tracking[Effective Date]) = Selected_Year) * (MONTH(Tracking[Effective Date]) = CC_Month_Number))</f>
        <v>0</v>
      </c>
      <c r="K87" s="93" cm="1">
        <f t="array" aca="1" ref="K87" ca="1">INDEX('Budget Planning'!$E:$EM, Income_Total_Row, MATCH(DATE(Selected_Year,CC_Month_Number,1), 'Budget Planning'!$E$9:$EM$9,0) )</f>
        <v>0</v>
      </c>
      <c r="L87" s="93">
        <f ca="1" xml:space="preserve"> CC_Budget - CC_Tracked_USD</f>
        <v>0</v>
      </c>
      <c r="M87" s="93">
        <f ca="1">CC_In_Focus * CC_Show_Type * MIN(CC_Tracked_USD,CC_Budget)</f>
        <v>0</v>
      </c>
      <c r="N87" s="93">
        <f ca="1">CC_In_Focus * CC_Show_Type * CC_Show_Remaining_Budget * IF(CC_Delta &gt; 0, CC_Delta,0)</f>
        <v>0</v>
      </c>
      <c r="O87" s="93">
        <f ca="1">CC_In_Focus * CC_Show_Type * IF(CC_Delta &lt; 0, ABS(CC_Delta), 0)</f>
        <v>0</v>
      </c>
      <c r="P87" s="93">
        <f ca="1">NOT(CC_In_Focus) * CC_Show_Type * MIN(CC_Tracked_USD,CC_Budget)</f>
        <v>0</v>
      </c>
      <c r="Q87" s="93">
        <f ca="1">NOT(CC_In_Focus) * CC_Show_Type * CC_Show_Remaining_Budget * IF(CC_Delta &gt; 0, CC_Delta,0)</f>
        <v>0</v>
      </c>
      <c r="R87" s="93">
        <f ca="1">NOT(CC_In_Focus) * CC_Show_Type * IF(CC_Delta &lt; 0, ABS(CC_Delta), 0)</f>
        <v>0</v>
      </c>
    </row>
    <row r="88" spans="4:18" x14ac:dyDescent="0.25">
      <c r="D88" s="120"/>
      <c r="E88" s="91" t="s">
        <v>27</v>
      </c>
      <c r="F88" s="91">
        <f t="shared" ref="F88" ca="1" si="50">MONTH(D87)</f>
        <v>8</v>
      </c>
      <c r="G88" s="91">
        <f ca="1">IF(Selected_Period = "Total Year",1, IF(Selected_Period = CC_Month_Number, 1, 0))</f>
        <v>0</v>
      </c>
      <c r="H88" s="91">
        <f t="shared" ref="H88" si="51">1*$E$54</f>
        <v>1</v>
      </c>
      <c r="I88" s="91">
        <f t="shared" si="7"/>
        <v>1</v>
      </c>
      <c r="J88" s="93" cm="1">
        <f t="array" aca="1" ref="J88" ca="1">SUM(Tracking[Amount $] * (Tracking[Type] = CC_Type) * (YEAR(Tracking[Effective Date]) = Selected_Year) * (MONTH(Tracking[Effective Date]) = CC_Month_Number))</f>
        <v>0</v>
      </c>
      <c r="K88" s="93" cm="1">
        <f t="array" aca="1" ref="K88" ca="1">INDEX('Budget Planning'!$E:$EM, Expenses_Total_Row, MATCH(DATE(Selected_Year,CC_Month_Number,1), 'Budget Planning'!$E$9:$EM$9,0) )</f>
        <v>0</v>
      </c>
      <c r="L88" s="93">
        <f ca="1" xml:space="preserve"> CC_Budget - CC_Tracked_USD</f>
        <v>0</v>
      </c>
      <c r="M88" s="93">
        <f ca="1">CC_In_Focus * CC_Show_Type * MIN(CC_Tracked_USD,CC_Budget)</f>
        <v>0</v>
      </c>
      <c r="N88" s="93">
        <f ca="1">CC_In_Focus * CC_Show_Type * CC_Show_Remaining_Budget * IF(CC_Delta &gt; 0, CC_Delta,0)</f>
        <v>0</v>
      </c>
      <c r="O88" s="93">
        <f ca="1">CC_In_Focus * CC_Show_Type * IF(CC_Delta &lt; 0, ABS(CC_Delta), 0)</f>
        <v>0</v>
      </c>
      <c r="P88" s="93">
        <f ca="1">NOT(CC_In_Focus) * CC_Show_Type * MIN(CC_Tracked_USD,CC_Budget)</f>
        <v>0</v>
      </c>
      <c r="Q88" s="93">
        <f ca="1">NOT(CC_In_Focus) * CC_Show_Type * CC_Show_Remaining_Budget * IF(CC_Delta &gt; 0, CC_Delta,0)</f>
        <v>0</v>
      </c>
      <c r="R88" s="93">
        <f ca="1">NOT(CC_In_Focus) * CC_Show_Type * IF(CC_Delta &lt; 0, ABS(CC_Delta), 0)</f>
        <v>0</v>
      </c>
    </row>
    <row r="89" spans="4:18" x14ac:dyDescent="0.25">
      <c r="D89" s="120"/>
      <c r="E89" s="91" t="s">
        <v>50</v>
      </c>
      <c r="F89" s="91">
        <f t="shared" ref="F89" ca="1" si="52">MONTH(D87)</f>
        <v>8</v>
      </c>
      <c r="G89" s="91">
        <f ca="1">IF(Selected_Period = "Total Year",1, IF(Selected_Period = CC_Month_Number, 1, 0))</f>
        <v>0</v>
      </c>
      <c r="H89" s="91">
        <f t="shared" ref="H89" si="53">1*$E$55</f>
        <v>1</v>
      </c>
      <c r="I89" s="91">
        <f t="shared" si="7"/>
        <v>1</v>
      </c>
      <c r="J89" s="93" cm="1">
        <f t="array" aca="1" ref="J89" ca="1">SUM(Tracking[Amount $] * (Tracking[Type] = CC_Type) * (YEAR(Tracking[Effective Date]) = Selected_Year) * (MONTH(Tracking[Effective Date]) = CC_Month_Number))</f>
        <v>0</v>
      </c>
      <c r="K89" s="93" cm="1">
        <f t="array" aca="1" ref="K89" ca="1">INDEX('Budget Planning'!$E:$EM, Savings_Total_Row, MATCH(DATE(Selected_Year,CC_Month_Number,1), 'Budget Planning'!$E$9:$EM$9,0) )</f>
        <v>0</v>
      </c>
      <c r="L89" s="93">
        <f ca="1" xml:space="preserve"> CC_Budget - CC_Tracked_USD</f>
        <v>0</v>
      </c>
      <c r="M89" s="93">
        <f ca="1">CC_In_Focus * CC_Show_Type * MIN(CC_Tracked_USD,CC_Budget)</f>
        <v>0</v>
      </c>
      <c r="N89" s="93">
        <f ca="1">CC_In_Focus * CC_Show_Type * CC_Show_Remaining_Budget * IF(CC_Delta &gt; 0, CC_Delta,0)</f>
        <v>0</v>
      </c>
      <c r="O89" s="93">
        <f ca="1">CC_In_Focus * CC_Show_Type * IF(CC_Delta &lt; 0, ABS(CC_Delta), 0)</f>
        <v>0</v>
      </c>
      <c r="P89" s="93">
        <f ca="1">NOT(CC_In_Focus) * CC_Show_Type * MIN(CC_Tracked_USD,CC_Budget)</f>
        <v>0</v>
      </c>
      <c r="Q89" s="93">
        <f ca="1">NOT(CC_In_Focus) * CC_Show_Type * CC_Show_Remaining_Budget * IF(CC_Delta &gt; 0, CC_Delta,0)</f>
        <v>0</v>
      </c>
      <c r="R89" s="93">
        <f ca="1">NOT(CC_In_Focus) * CC_Show_Type * IF(CC_Delta &lt; 0, ABS(CC_Delta), 0)</f>
        <v>0</v>
      </c>
    </row>
    <row r="90" spans="4:18" x14ac:dyDescent="0.25">
      <c r="D90" s="121"/>
      <c r="E90" s="92"/>
      <c r="F90" s="92"/>
      <c r="G90" s="92"/>
      <c r="H90" s="92"/>
      <c r="I90" s="92"/>
      <c r="J90" s="96"/>
      <c r="K90" s="96"/>
      <c r="L90" s="96"/>
      <c r="M90" s="92"/>
      <c r="N90" s="92"/>
      <c r="O90" s="92"/>
      <c r="P90" s="92"/>
      <c r="Q90" s="92"/>
      <c r="R90" s="92"/>
    </row>
    <row r="91" spans="4:18" x14ac:dyDescent="0.25">
      <c r="D91" s="119">
        <f ca="1">DATE(Selected_Year,9,1)</f>
        <v>46266</v>
      </c>
      <c r="E91" s="90" t="s">
        <v>20</v>
      </c>
      <c r="F91" s="91">
        <f t="shared" ref="F91" ca="1" si="54">MONTH(D91)</f>
        <v>9</v>
      </c>
      <c r="G91" s="91">
        <f ca="1">IF(Selected_Period = "Total Year",1, IF(Selected_Period = CC_Month_Number, 1, 0))</f>
        <v>0</v>
      </c>
      <c r="H91" s="91">
        <f t="shared" ref="H91" si="55">1*$E$53</f>
        <v>1</v>
      </c>
      <c r="I91" s="91">
        <f t="shared" ref="I91" si="56">1*$E$56</f>
        <v>1</v>
      </c>
      <c r="J91" s="93" cm="1">
        <f t="array" aca="1" ref="J91" ca="1">SUM(Tracking[Amount $] * (Tracking[Type] = CC_Type) * (YEAR(Tracking[Effective Date]) = Selected_Year) * (MONTH(Tracking[Effective Date]) = CC_Month_Number))</f>
        <v>0</v>
      </c>
      <c r="K91" s="93" cm="1">
        <f t="array" aca="1" ref="K91" ca="1">INDEX('Budget Planning'!$E:$EM, Income_Total_Row, MATCH(DATE(Selected_Year,CC_Month_Number,1), 'Budget Planning'!$E$9:$EM$9,0) )</f>
        <v>0</v>
      </c>
      <c r="L91" s="93">
        <f ca="1" xml:space="preserve"> CC_Budget - CC_Tracked_USD</f>
        <v>0</v>
      </c>
      <c r="M91" s="93">
        <f ca="1">CC_In_Focus * CC_Show_Type * MIN(CC_Tracked_USD,CC_Budget)</f>
        <v>0</v>
      </c>
      <c r="N91" s="93">
        <f ca="1">CC_In_Focus * CC_Show_Type * CC_Show_Remaining_Budget * IF(CC_Delta &gt; 0, CC_Delta,0)</f>
        <v>0</v>
      </c>
      <c r="O91" s="93">
        <f ca="1">CC_In_Focus * CC_Show_Type * IF(CC_Delta &lt; 0, ABS(CC_Delta), 0)</f>
        <v>0</v>
      </c>
      <c r="P91" s="93">
        <f ca="1">NOT(CC_In_Focus) * CC_Show_Type * MIN(CC_Tracked_USD,CC_Budget)</f>
        <v>0</v>
      </c>
      <c r="Q91" s="93">
        <f ca="1">NOT(CC_In_Focus) * CC_Show_Type * CC_Show_Remaining_Budget * IF(CC_Delta &gt; 0, CC_Delta,0)</f>
        <v>0</v>
      </c>
      <c r="R91" s="93">
        <f ca="1">NOT(CC_In_Focus) * CC_Show_Type * IF(CC_Delta &lt; 0, ABS(CC_Delta), 0)</f>
        <v>0</v>
      </c>
    </row>
    <row r="92" spans="4:18" x14ac:dyDescent="0.25">
      <c r="D92" s="120"/>
      <c r="E92" s="91" t="s">
        <v>27</v>
      </c>
      <c r="F92" s="91">
        <f t="shared" ref="F92" ca="1" si="57">MONTH(D91)</f>
        <v>9</v>
      </c>
      <c r="G92" s="91">
        <f ca="1">IF(Selected_Period = "Total Year",1, IF(Selected_Period = CC_Month_Number, 1, 0))</f>
        <v>0</v>
      </c>
      <c r="H92" s="91">
        <f t="shared" ref="H92" si="58">1*$E$54</f>
        <v>1</v>
      </c>
      <c r="I92" s="91">
        <f t="shared" si="7"/>
        <v>1</v>
      </c>
      <c r="J92" s="93" cm="1">
        <f t="array" aca="1" ref="J92" ca="1">SUM(Tracking[Amount $] * (Tracking[Type] = CC_Type) * (YEAR(Tracking[Effective Date]) = Selected_Year) * (MONTH(Tracking[Effective Date]) = CC_Month_Number))</f>
        <v>0</v>
      </c>
      <c r="K92" s="93" cm="1">
        <f t="array" aca="1" ref="K92" ca="1">INDEX('Budget Planning'!$E:$EM, Expenses_Total_Row, MATCH(DATE(Selected_Year,CC_Month_Number,1), 'Budget Planning'!$E$9:$EM$9,0) )</f>
        <v>0</v>
      </c>
      <c r="L92" s="93">
        <f ca="1" xml:space="preserve"> CC_Budget - CC_Tracked_USD</f>
        <v>0</v>
      </c>
      <c r="M92" s="93">
        <f ca="1">CC_In_Focus * CC_Show_Type * MIN(CC_Tracked_USD,CC_Budget)</f>
        <v>0</v>
      </c>
      <c r="N92" s="93">
        <f ca="1">CC_In_Focus * CC_Show_Type * CC_Show_Remaining_Budget * IF(CC_Delta &gt; 0, CC_Delta,0)</f>
        <v>0</v>
      </c>
      <c r="O92" s="93">
        <f ca="1">CC_In_Focus * CC_Show_Type * IF(CC_Delta &lt; 0, ABS(CC_Delta), 0)</f>
        <v>0</v>
      </c>
      <c r="P92" s="93">
        <f ca="1">NOT(CC_In_Focus) * CC_Show_Type * MIN(CC_Tracked_USD,CC_Budget)</f>
        <v>0</v>
      </c>
      <c r="Q92" s="93">
        <f ca="1">NOT(CC_In_Focus) * CC_Show_Type * CC_Show_Remaining_Budget * IF(CC_Delta &gt; 0, CC_Delta,0)</f>
        <v>0</v>
      </c>
      <c r="R92" s="93">
        <f ca="1">NOT(CC_In_Focus) * CC_Show_Type * IF(CC_Delta &lt; 0, ABS(CC_Delta), 0)</f>
        <v>0</v>
      </c>
    </row>
    <row r="93" spans="4:18" x14ac:dyDescent="0.25">
      <c r="D93" s="120"/>
      <c r="E93" s="91" t="s">
        <v>50</v>
      </c>
      <c r="F93" s="91">
        <f t="shared" ref="F93" ca="1" si="59">MONTH(D91)</f>
        <v>9</v>
      </c>
      <c r="G93" s="91">
        <f ca="1">IF(Selected_Period = "Total Year",1, IF(Selected_Period = CC_Month_Number, 1, 0))</f>
        <v>0</v>
      </c>
      <c r="H93" s="91">
        <f t="shared" ref="H93" si="60">1*$E$55</f>
        <v>1</v>
      </c>
      <c r="I93" s="91">
        <f t="shared" si="7"/>
        <v>1</v>
      </c>
      <c r="J93" s="93" cm="1">
        <f t="array" aca="1" ref="J93" ca="1">SUM(Tracking[Amount $] * (Tracking[Type] = CC_Type) * (YEAR(Tracking[Effective Date]) = Selected_Year) * (MONTH(Tracking[Effective Date]) = CC_Month_Number))</f>
        <v>0</v>
      </c>
      <c r="K93" s="93" cm="1">
        <f t="array" aca="1" ref="K93" ca="1">INDEX('Budget Planning'!$E:$EM, Savings_Total_Row, MATCH(DATE(Selected_Year,CC_Month_Number,1), 'Budget Planning'!$E$9:$EM$9,0) )</f>
        <v>0</v>
      </c>
      <c r="L93" s="93">
        <f ca="1" xml:space="preserve"> CC_Budget - CC_Tracked_USD</f>
        <v>0</v>
      </c>
      <c r="M93" s="93">
        <f ca="1">CC_In_Focus * CC_Show_Type * MIN(CC_Tracked_USD,CC_Budget)</f>
        <v>0</v>
      </c>
      <c r="N93" s="93">
        <f ca="1">CC_In_Focus * CC_Show_Type * CC_Show_Remaining_Budget * IF(CC_Delta &gt; 0, CC_Delta,0)</f>
        <v>0</v>
      </c>
      <c r="O93" s="93">
        <f ca="1">CC_In_Focus * CC_Show_Type * IF(CC_Delta &lt; 0, ABS(CC_Delta), 0)</f>
        <v>0</v>
      </c>
      <c r="P93" s="93">
        <f ca="1">NOT(CC_In_Focus) * CC_Show_Type * MIN(CC_Tracked_USD,CC_Budget)</f>
        <v>0</v>
      </c>
      <c r="Q93" s="93">
        <f ca="1">NOT(CC_In_Focus) * CC_Show_Type * CC_Show_Remaining_Budget * IF(CC_Delta &gt; 0, CC_Delta,0)</f>
        <v>0</v>
      </c>
      <c r="R93" s="93">
        <f ca="1">NOT(CC_In_Focus) * CC_Show_Type * IF(CC_Delta &lt; 0, ABS(CC_Delta), 0)</f>
        <v>0</v>
      </c>
    </row>
    <row r="94" spans="4:18" x14ac:dyDescent="0.25">
      <c r="D94" s="121"/>
      <c r="E94" s="92"/>
      <c r="F94" s="92"/>
      <c r="G94" s="92"/>
      <c r="H94" s="92"/>
      <c r="I94" s="92"/>
      <c r="J94" s="96"/>
      <c r="K94" s="96"/>
      <c r="L94" s="96"/>
      <c r="M94" s="92"/>
      <c r="N94" s="92"/>
      <c r="O94" s="92"/>
      <c r="P94" s="92"/>
      <c r="Q94" s="92"/>
      <c r="R94" s="92"/>
    </row>
    <row r="95" spans="4:18" x14ac:dyDescent="0.25">
      <c r="D95" s="119">
        <f ca="1">DATE(Selected_Year,10,1)</f>
        <v>46296</v>
      </c>
      <c r="E95" s="90" t="s">
        <v>20</v>
      </c>
      <c r="F95" s="91">
        <f t="shared" ref="F95" ca="1" si="61">MONTH(D95)</f>
        <v>10</v>
      </c>
      <c r="G95" s="91">
        <f ca="1">IF(Selected_Period = "Total Year",1, IF(Selected_Period = CC_Month_Number, 1, 0))</f>
        <v>0</v>
      </c>
      <c r="H95" s="91">
        <f t="shared" ref="H95" si="62">1*$E$53</f>
        <v>1</v>
      </c>
      <c r="I95" s="91">
        <f t="shared" ref="I95" si="63">1*$E$56</f>
        <v>1</v>
      </c>
      <c r="J95" s="93" cm="1">
        <f t="array" aca="1" ref="J95" ca="1">SUM(Tracking[Amount $] * (Tracking[Type] = CC_Type) * (YEAR(Tracking[Effective Date]) = Selected_Year) * (MONTH(Tracking[Effective Date]) = CC_Month_Number))</f>
        <v>0</v>
      </c>
      <c r="K95" s="93" cm="1">
        <f t="array" aca="1" ref="K95" ca="1">INDEX('Budget Planning'!$E:$EM, Income_Total_Row, MATCH(DATE(Selected_Year,CC_Month_Number,1), 'Budget Planning'!$E$9:$EM$9,0) )</f>
        <v>0</v>
      </c>
      <c r="L95" s="93">
        <f ca="1" xml:space="preserve"> CC_Budget - CC_Tracked_USD</f>
        <v>0</v>
      </c>
      <c r="M95" s="93">
        <f ca="1">CC_In_Focus * CC_Show_Type * MIN(CC_Tracked_USD,CC_Budget)</f>
        <v>0</v>
      </c>
      <c r="N95" s="93">
        <f ca="1">CC_In_Focus * CC_Show_Type * CC_Show_Remaining_Budget * IF(CC_Delta &gt; 0, CC_Delta,0)</f>
        <v>0</v>
      </c>
      <c r="O95" s="93">
        <f ca="1">CC_In_Focus * CC_Show_Type * IF(CC_Delta &lt; 0, ABS(CC_Delta), 0)</f>
        <v>0</v>
      </c>
      <c r="P95" s="93">
        <f ca="1">NOT(CC_In_Focus) * CC_Show_Type * MIN(CC_Tracked_USD,CC_Budget)</f>
        <v>0</v>
      </c>
      <c r="Q95" s="93">
        <f ca="1">NOT(CC_In_Focus) * CC_Show_Type * CC_Show_Remaining_Budget * IF(CC_Delta &gt; 0, CC_Delta,0)</f>
        <v>0</v>
      </c>
      <c r="R95" s="93">
        <f ca="1">NOT(CC_In_Focus) * CC_Show_Type * IF(CC_Delta &lt; 0, ABS(CC_Delta), 0)</f>
        <v>0</v>
      </c>
    </row>
    <row r="96" spans="4:18" x14ac:dyDescent="0.25">
      <c r="D96" s="120"/>
      <c r="E96" s="91" t="s">
        <v>27</v>
      </c>
      <c r="F96" s="91">
        <f t="shared" ref="F96" ca="1" si="64">MONTH(D95)</f>
        <v>10</v>
      </c>
      <c r="G96" s="91">
        <f ca="1">IF(Selected_Period = "Total Year",1, IF(Selected_Period = CC_Month_Number, 1, 0))</f>
        <v>0</v>
      </c>
      <c r="H96" s="91">
        <f t="shared" ref="H96" si="65">1*$E$54</f>
        <v>1</v>
      </c>
      <c r="I96" s="91">
        <f t="shared" si="7"/>
        <v>1</v>
      </c>
      <c r="J96" s="93" cm="1">
        <f t="array" aca="1" ref="J96" ca="1">SUM(Tracking[Amount $] * (Tracking[Type] = CC_Type) * (YEAR(Tracking[Effective Date]) = Selected_Year) * (MONTH(Tracking[Effective Date]) = CC_Month_Number))</f>
        <v>0</v>
      </c>
      <c r="K96" s="93" cm="1">
        <f t="array" aca="1" ref="K96" ca="1">INDEX('Budget Planning'!$E:$EM, Expenses_Total_Row, MATCH(DATE(Selected_Year,CC_Month_Number,1), 'Budget Planning'!$E$9:$EM$9,0) )</f>
        <v>0</v>
      </c>
      <c r="L96" s="93">
        <f ca="1" xml:space="preserve"> CC_Budget - CC_Tracked_USD</f>
        <v>0</v>
      </c>
      <c r="M96" s="93">
        <f ca="1">CC_In_Focus * CC_Show_Type * MIN(CC_Tracked_USD,CC_Budget)</f>
        <v>0</v>
      </c>
      <c r="N96" s="93">
        <f ca="1">CC_In_Focus * CC_Show_Type * CC_Show_Remaining_Budget * IF(CC_Delta &gt; 0, CC_Delta,0)</f>
        <v>0</v>
      </c>
      <c r="O96" s="93">
        <f ca="1">CC_In_Focus * CC_Show_Type * IF(CC_Delta &lt; 0, ABS(CC_Delta), 0)</f>
        <v>0</v>
      </c>
      <c r="P96" s="93">
        <f ca="1">NOT(CC_In_Focus) * CC_Show_Type * MIN(CC_Tracked_USD,CC_Budget)</f>
        <v>0</v>
      </c>
      <c r="Q96" s="93">
        <f ca="1">NOT(CC_In_Focus) * CC_Show_Type * CC_Show_Remaining_Budget * IF(CC_Delta &gt; 0, CC_Delta,0)</f>
        <v>0</v>
      </c>
      <c r="R96" s="93">
        <f ca="1">NOT(CC_In_Focus) * CC_Show_Type * IF(CC_Delta &lt; 0, ABS(CC_Delta), 0)</f>
        <v>0</v>
      </c>
    </row>
    <row r="97" spans="4:18" x14ac:dyDescent="0.25">
      <c r="D97" s="120"/>
      <c r="E97" s="91" t="s">
        <v>50</v>
      </c>
      <c r="F97" s="91">
        <f t="shared" ref="F97" ca="1" si="66">MONTH(D95)</f>
        <v>10</v>
      </c>
      <c r="G97" s="91">
        <f ca="1">IF(Selected_Period = "Total Year",1, IF(Selected_Period = CC_Month_Number, 1, 0))</f>
        <v>0</v>
      </c>
      <c r="H97" s="91">
        <f t="shared" ref="H97" si="67">1*$E$55</f>
        <v>1</v>
      </c>
      <c r="I97" s="91">
        <f t="shared" si="7"/>
        <v>1</v>
      </c>
      <c r="J97" s="93" cm="1">
        <f t="array" aca="1" ref="J97" ca="1">SUM(Tracking[Amount $] * (Tracking[Type] = CC_Type) * (YEAR(Tracking[Effective Date]) = Selected_Year) * (MONTH(Tracking[Effective Date]) = CC_Month_Number))</f>
        <v>0</v>
      </c>
      <c r="K97" s="93" cm="1">
        <f t="array" aca="1" ref="K97" ca="1">INDEX('Budget Planning'!$E:$EM, Savings_Total_Row, MATCH(DATE(Selected_Year,CC_Month_Number,1), 'Budget Planning'!$E$9:$EM$9,0) )</f>
        <v>0</v>
      </c>
      <c r="L97" s="93">
        <f ca="1" xml:space="preserve"> CC_Budget - CC_Tracked_USD</f>
        <v>0</v>
      </c>
      <c r="M97" s="93">
        <f ca="1">CC_In_Focus * CC_Show_Type * MIN(CC_Tracked_USD,CC_Budget)</f>
        <v>0</v>
      </c>
      <c r="N97" s="93">
        <f ca="1">CC_In_Focus * CC_Show_Type * CC_Show_Remaining_Budget * IF(CC_Delta &gt; 0, CC_Delta,0)</f>
        <v>0</v>
      </c>
      <c r="O97" s="93">
        <f ca="1">CC_In_Focus * CC_Show_Type * IF(CC_Delta &lt; 0, ABS(CC_Delta), 0)</f>
        <v>0</v>
      </c>
      <c r="P97" s="93">
        <f ca="1">NOT(CC_In_Focus) * CC_Show_Type * MIN(CC_Tracked_USD,CC_Budget)</f>
        <v>0</v>
      </c>
      <c r="Q97" s="93">
        <f ca="1">NOT(CC_In_Focus) * CC_Show_Type * CC_Show_Remaining_Budget * IF(CC_Delta &gt; 0, CC_Delta,0)</f>
        <v>0</v>
      </c>
      <c r="R97" s="93">
        <f ca="1">NOT(CC_In_Focus) * CC_Show_Type * IF(CC_Delta &lt; 0, ABS(CC_Delta), 0)</f>
        <v>0</v>
      </c>
    </row>
    <row r="98" spans="4:18" x14ac:dyDescent="0.25">
      <c r="D98" s="121"/>
      <c r="E98" s="92"/>
      <c r="F98" s="92"/>
      <c r="G98" s="92"/>
      <c r="H98" s="92"/>
      <c r="I98" s="92"/>
      <c r="J98" s="96"/>
      <c r="K98" s="96"/>
      <c r="L98" s="96"/>
      <c r="M98" s="92"/>
      <c r="N98" s="92"/>
      <c r="O98" s="92"/>
      <c r="P98" s="92"/>
      <c r="Q98" s="92"/>
      <c r="R98" s="92"/>
    </row>
    <row r="99" spans="4:18" x14ac:dyDescent="0.25">
      <c r="D99" s="119">
        <f ca="1">DATE(Selected_Year,11,1)</f>
        <v>46327</v>
      </c>
      <c r="E99" s="90" t="s">
        <v>20</v>
      </c>
      <c r="F99" s="91">
        <f t="shared" ref="F99" ca="1" si="68">MONTH(D99)</f>
        <v>11</v>
      </c>
      <c r="G99" s="91">
        <f ca="1">IF(Selected_Period = "Total Year",1, IF(Selected_Period = CC_Month_Number, 1, 0))</f>
        <v>0</v>
      </c>
      <c r="H99" s="91">
        <f t="shared" ref="H99" si="69">1*$E$53</f>
        <v>1</v>
      </c>
      <c r="I99" s="91">
        <f t="shared" ref="I99" si="70">1*$E$56</f>
        <v>1</v>
      </c>
      <c r="J99" s="93" cm="1">
        <f t="array" aca="1" ref="J99" ca="1">SUM(Tracking[Amount $] * (Tracking[Type] = CC_Type) * (YEAR(Tracking[Effective Date]) = Selected_Year) * (MONTH(Tracking[Effective Date]) = CC_Month_Number))</f>
        <v>0</v>
      </c>
      <c r="K99" s="93" cm="1">
        <f t="array" aca="1" ref="K99" ca="1">INDEX('Budget Planning'!$E:$EM, Income_Total_Row, MATCH(DATE(Selected_Year,CC_Month_Number,1), 'Budget Planning'!$E$9:$EM$9,0) )</f>
        <v>0</v>
      </c>
      <c r="L99" s="93">
        <f ca="1" xml:space="preserve"> CC_Budget - CC_Tracked_USD</f>
        <v>0</v>
      </c>
      <c r="M99" s="93">
        <f ca="1">CC_In_Focus * CC_Show_Type * MIN(CC_Tracked_USD,CC_Budget)</f>
        <v>0</v>
      </c>
      <c r="N99" s="93">
        <f ca="1">CC_In_Focus * CC_Show_Type * CC_Show_Remaining_Budget * IF(CC_Delta &gt; 0, CC_Delta,0)</f>
        <v>0</v>
      </c>
      <c r="O99" s="93">
        <f ca="1">CC_In_Focus * CC_Show_Type * IF(CC_Delta &lt; 0, ABS(CC_Delta), 0)</f>
        <v>0</v>
      </c>
      <c r="P99" s="93">
        <f ca="1">NOT(CC_In_Focus) * CC_Show_Type * MIN(CC_Tracked_USD,CC_Budget)</f>
        <v>0</v>
      </c>
      <c r="Q99" s="93">
        <f ca="1">NOT(CC_In_Focus) * CC_Show_Type * CC_Show_Remaining_Budget * IF(CC_Delta &gt; 0, CC_Delta,0)</f>
        <v>0</v>
      </c>
      <c r="R99" s="93">
        <f ca="1">NOT(CC_In_Focus) * CC_Show_Type * IF(CC_Delta &lt; 0, ABS(CC_Delta), 0)</f>
        <v>0</v>
      </c>
    </row>
    <row r="100" spans="4:18" x14ac:dyDescent="0.25">
      <c r="D100" s="120"/>
      <c r="E100" s="91" t="s">
        <v>27</v>
      </c>
      <c r="F100" s="91">
        <f t="shared" ref="F100" ca="1" si="71">MONTH(D99)</f>
        <v>11</v>
      </c>
      <c r="G100" s="91">
        <f ca="1">IF(Selected_Period = "Total Year",1, IF(Selected_Period = CC_Month_Number, 1, 0))</f>
        <v>0</v>
      </c>
      <c r="H100" s="91">
        <f t="shared" ref="H100" si="72">1*$E$54</f>
        <v>1</v>
      </c>
      <c r="I100" s="91">
        <f t="shared" si="7"/>
        <v>1</v>
      </c>
      <c r="J100" s="93" cm="1">
        <f t="array" aca="1" ref="J100" ca="1">SUM(Tracking[Amount $] * (Tracking[Type] = CC_Type) * (YEAR(Tracking[Effective Date]) = Selected_Year) * (MONTH(Tracking[Effective Date]) = CC_Month_Number))</f>
        <v>0</v>
      </c>
      <c r="K100" s="93" cm="1">
        <f t="array" aca="1" ref="K100" ca="1">INDEX('Budget Planning'!$E:$EM, Expenses_Total_Row, MATCH(DATE(Selected_Year,CC_Month_Number,1), 'Budget Planning'!$E$9:$EM$9,0) )</f>
        <v>0</v>
      </c>
      <c r="L100" s="93">
        <f ca="1" xml:space="preserve"> CC_Budget - CC_Tracked_USD</f>
        <v>0</v>
      </c>
      <c r="M100" s="93">
        <f ca="1">CC_In_Focus * CC_Show_Type * MIN(CC_Tracked_USD,CC_Budget)</f>
        <v>0</v>
      </c>
      <c r="N100" s="93">
        <f ca="1">CC_In_Focus * CC_Show_Type * CC_Show_Remaining_Budget * IF(CC_Delta &gt; 0, CC_Delta,0)</f>
        <v>0</v>
      </c>
      <c r="O100" s="93">
        <f ca="1">CC_In_Focus * CC_Show_Type * IF(CC_Delta &lt; 0, ABS(CC_Delta), 0)</f>
        <v>0</v>
      </c>
      <c r="P100" s="93">
        <f ca="1">NOT(CC_In_Focus) * CC_Show_Type * MIN(CC_Tracked_USD,CC_Budget)</f>
        <v>0</v>
      </c>
      <c r="Q100" s="93">
        <f ca="1">NOT(CC_In_Focus) * CC_Show_Type * CC_Show_Remaining_Budget * IF(CC_Delta &gt; 0, CC_Delta,0)</f>
        <v>0</v>
      </c>
      <c r="R100" s="93">
        <f ca="1">NOT(CC_In_Focus) * CC_Show_Type * IF(CC_Delta &lt; 0, ABS(CC_Delta), 0)</f>
        <v>0</v>
      </c>
    </row>
    <row r="101" spans="4:18" x14ac:dyDescent="0.25">
      <c r="D101" s="120"/>
      <c r="E101" s="91" t="s">
        <v>50</v>
      </c>
      <c r="F101" s="91">
        <f t="shared" ref="F101" ca="1" si="73">MONTH(D99)</f>
        <v>11</v>
      </c>
      <c r="G101" s="91">
        <f ca="1">IF(Selected_Period = "Total Year",1, IF(Selected_Period = CC_Month_Number, 1, 0))</f>
        <v>0</v>
      </c>
      <c r="H101" s="91">
        <f t="shared" ref="H101" si="74">1*$E$55</f>
        <v>1</v>
      </c>
      <c r="I101" s="91">
        <f t="shared" si="7"/>
        <v>1</v>
      </c>
      <c r="J101" s="93" cm="1">
        <f t="array" aca="1" ref="J101" ca="1">SUM(Tracking[Amount $] * (Tracking[Type] = CC_Type) * (YEAR(Tracking[Effective Date]) = Selected_Year) * (MONTH(Tracking[Effective Date]) = CC_Month_Number))</f>
        <v>0</v>
      </c>
      <c r="K101" s="93" cm="1">
        <f t="array" aca="1" ref="K101" ca="1">INDEX('Budget Planning'!$E:$EM, Savings_Total_Row, MATCH(DATE(Selected_Year,CC_Month_Number,1), 'Budget Planning'!$E$9:$EM$9,0) )</f>
        <v>0</v>
      </c>
      <c r="L101" s="93">
        <f ca="1" xml:space="preserve"> CC_Budget - CC_Tracked_USD</f>
        <v>0</v>
      </c>
      <c r="M101" s="93">
        <f ca="1">CC_In_Focus * CC_Show_Type * MIN(CC_Tracked_USD,CC_Budget)</f>
        <v>0</v>
      </c>
      <c r="N101" s="93">
        <f ca="1">CC_In_Focus * CC_Show_Type * CC_Show_Remaining_Budget * IF(CC_Delta &gt; 0, CC_Delta,0)</f>
        <v>0</v>
      </c>
      <c r="O101" s="93">
        <f ca="1">CC_In_Focus * CC_Show_Type * IF(CC_Delta &lt; 0, ABS(CC_Delta), 0)</f>
        <v>0</v>
      </c>
      <c r="P101" s="93">
        <f ca="1">NOT(CC_In_Focus) * CC_Show_Type * MIN(CC_Tracked_USD,CC_Budget)</f>
        <v>0</v>
      </c>
      <c r="Q101" s="93">
        <f ca="1">NOT(CC_In_Focus) * CC_Show_Type * CC_Show_Remaining_Budget * IF(CC_Delta &gt; 0, CC_Delta,0)</f>
        <v>0</v>
      </c>
      <c r="R101" s="93">
        <f ca="1">NOT(CC_In_Focus) * CC_Show_Type * IF(CC_Delta &lt; 0, ABS(CC_Delta), 0)</f>
        <v>0</v>
      </c>
    </row>
    <row r="102" spans="4:18" x14ac:dyDescent="0.25">
      <c r="D102" s="121"/>
      <c r="E102" s="92"/>
      <c r="F102" s="92"/>
      <c r="G102" s="92"/>
      <c r="H102" s="92"/>
      <c r="I102" s="92"/>
      <c r="J102" s="96"/>
      <c r="K102" s="96"/>
      <c r="L102" s="96"/>
      <c r="M102" s="92"/>
      <c r="N102" s="92"/>
      <c r="O102" s="92"/>
      <c r="P102" s="92"/>
      <c r="Q102" s="92"/>
      <c r="R102" s="92"/>
    </row>
    <row r="103" spans="4:18" x14ac:dyDescent="0.25">
      <c r="D103" s="119">
        <f ca="1">DATE(Selected_Year,12,1)</f>
        <v>46357</v>
      </c>
      <c r="E103" s="90" t="s">
        <v>20</v>
      </c>
      <c r="F103" s="91">
        <f t="shared" ref="F103" ca="1" si="75">MONTH(D103)</f>
        <v>12</v>
      </c>
      <c r="G103" s="91">
        <f ca="1">IF(Selected_Period = "Total Year",1, IF(Selected_Period = CC_Month_Number, 1, 0))</f>
        <v>0</v>
      </c>
      <c r="H103" s="91">
        <f t="shared" ref="H103" si="76">1*$E$53</f>
        <v>1</v>
      </c>
      <c r="I103" s="91">
        <f t="shared" ref="I103" si="77">1*$E$56</f>
        <v>1</v>
      </c>
      <c r="J103" s="93" cm="1">
        <f t="array" aca="1" ref="J103" ca="1">SUM(Tracking[Amount $] * (Tracking[Type] = CC_Type) * (YEAR(Tracking[Effective Date]) = Selected_Year) * (MONTH(Tracking[Effective Date]) = CC_Month_Number))</f>
        <v>0</v>
      </c>
      <c r="K103" s="93" cm="1">
        <f t="array" aca="1" ref="K103" ca="1">INDEX('Budget Planning'!$E:$EM, Income_Total_Row, MATCH(DATE(Selected_Year,CC_Month_Number,1), 'Budget Planning'!$E$9:$EM$9,0) )</f>
        <v>0</v>
      </c>
      <c r="L103" s="93">
        <f ca="1" xml:space="preserve"> CC_Budget - CC_Tracked_USD</f>
        <v>0</v>
      </c>
      <c r="M103" s="93">
        <f ca="1">CC_In_Focus * CC_Show_Type * MIN(CC_Tracked_USD,CC_Budget)</f>
        <v>0</v>
      </c>
      <c r="N103" s="93">
        <f ca="1">CC_In_Focus * CC_Show_Type * CC_Show_Remaining_Budget * IF(CC_Delta &gt; 0, CC_Delta,0)</f>
        <v>0</v>
      </c>
      <c r="O103" s="93">
        <f ca="1">CC_In_Focus * CC_Show_Type * IF(CC_Delta &lt; 0, ABS(CC_Delta), 0)</f>
        <v>0</v>
      </c>
      <c r="P103" s="93">
        <f ca="1">NOT(CC_In_Focus) * CC_Show_Type * MIN(CC_Tracked_USD,CC_Budget)</f>
        <v>0</v>
      </c>
      <c r="Q103" s="93">
        <f ca="1">NOT(CC_In_Focus) * CC_Show_Type * CC_Show_Remaining_Budget * IF(CC_Delta &gt; 0, CC_Delta,0)</f>
        <v>0</v>
      </c>
      <c r="R103" s="93">
        <f ca="1">NOT(CC_In_Focus) * CC_Show_Type * IF(CC_Delta &lt; 0, ABS(CC_Delta), 0)</f>
        <v>0</v>
      </c>
    </row>
    <row r="104" spans="4:18" x14ac:dyDescent="0.25">
      <c r="D104" s="120"/>
      <c r="E104" s="91" t="s">
        <v>27</v>
      </c>
      <c r="F104" s="91">
        <f t="shared" ref="F104" ca="1" si="78">MONTH(D103)</f>
        <v>12</v>
      </c>
      <c r="G104" s="91">
        <f ca="1">IF(Selected_Period = "Total Year",1, IF(Selected_Period = CC_Month_Number, 1, 0))</f>
        <v>0</v>
      </c>
      <c r="H104" s="91">
        <f t="shared" ref="H104" si="79">1*$E$54</f>
        <v>1</v>
      </c>
      <c r="I104" s="91">
        <f t="shared" si="7"/>
        <v>1</v>
      </c>
      <c r="J104" s="93" cm="1">
        <f t="array" aca="1" ref="J104" ca="1">SUM(Tracking[Amount $] * (Tracking[Type] = CC_Type) * (YEAR(Tracking[Effective Date]) = Selected_Year) * (MONTH(Tracking[Effective Date]) = CC_Month_Number))</f>
        <v>0</v>
      </c>
      <c r="K104" s="93" cm="1">
        <f t="array" aca="1" ref="K104" ca="1">INDEX('Budget Planning'!$E:$EM, Expenses_Total_Row, MATCH(DATE(Selected_Year,CC_Month_Number,1), 'Budget Planning'!$E$9:$EM$9,0) )</f>
        <v>0</v>
      </c>
      <c r="L104" s="93">
        <f ca="1" xml:space="preserve"> CC_Budget - CC_Tracked_USD</f>
        <v>0</v>
      </c>
      <c r="M104" s="93">
        <f ca="1">CC_In_Focus * CC_Show_Type * MIN(CC_Tracked_USD,CC_Budget)</f>
        <v>0</v>
      </c>
      <c r="N104" s="93">
        <f ca="1">CC_In_Focus * CC_Show_Type * CC_Show_Remaining_Budget * IF(CC_Delta &gt; 0, CC_Delta,0)</f>
        <v>0</v>
      </c>
      <c r="O104" s="93">
        <f ca="1">CC_In_Focus * CC_Show_Type * IF(CC_Delta &lt; 0, ABS(CC_Delta), 0)</f>
        <v>0</v>
      </c>
      <c r="P104" s="93">
        <f ca="1">NOT(CC_In_Focus) * CC_Show_Type * MIN(CC_Tracked_USD,CC_Budget)</f>
        <v>0</v>
      </c>
      <c r="Q104" s="93">
        <f ca="1">NOT(CC_In_Focus) * CC_Show_Type * CC_Show_Remaining_Budget * IF(CC_Delta &gt; 0, CC_Delta,0)</f>
        <v>0</v>
      </c>
      <c r="R104" s="93">
        <f ca="1">NOT(CC_In_Focus) * CC_Show_Type * IF(CC_Delta &lt; 0, ABS(CC_Delta), 0)</f>
        <v>0</v>
      </c>
    </row>
    <row r="105" spans="4:18" x14ac:dyDescent="0.25">
      <c r="D105" s="120"/>
      <c r="E105" s="91" t="s">
        <v>50</v>
      </c>
      <c r="F105" s="91">
        <f t="shared" ref="F105" ca="1" si="80">MONTH(D103)</f>
        <v>12</v>
      </c>
      <c r="G105" s="91">
        <f ca="1">IF(Selected_Period = "Total Year",1, IF(Selected_Period = CC_Month_Number, 1, 0))</f>
        <v>0</v>
      </c>
      <c r="H105" s="91">
        <f t="shared" ref="H105" si="81">1*$E$55</f>
        <v>1</v>
      </c>
      <c r="I105" s="91">
        <f t="shared" si="7"/>
        <v>1</v>
      </c>
      <c r="J105" s="93" cm="1">
        <f t="array" aca="1" ref="J105" ca="1">SUM(Tracking[Amount $] * (Tracking[Type] = CC_Type) * (YEAR(Tracking[Effective Date]) = Selected_Year) * (MONTH(Tracking[Effective Date]) = CC_Month_Number))</f>
        <v>0</v>
      </c>
      <c r="K105" s="93" cm="1">
        <f t="array" aca="1" ref="K105" ca="1">INDEX('Budget Planning'!$E:$EM, Savings_Total_Row, MATCH(DATE(Selected_Year,CC_Month_Number,1), 'Budget Planning'!$E$9:$EM$9,0) )</f>
        <v>0</v>
      </c>
      <c r="L105" s="93">
        <f ca="1" xml:space="preserve"> CC_Budget - CC_Tracked_USD</f>
        <v>0</v>
      </c>
      <c r="M105" s="93">
        <f ca="1">CC_In_Focus * CC_Show_Type * MIN(CC_Tracked_USD,CC_Budget)</f>
        <v>0</v>
      </c>
      <c r="N105" s="93">
        <f ca="1">CC_In_Focus * CC_Show_Type * CC_Show_Remaining_Budget * IF(CC_Delta &gt; 0, CC_Delta,0)</f>
        <v>0</v>
      </c>
      <c r="O105" s="93">
        <f ca="1">CC_In_Focus * CC_Show_Type * IF(CC_Delta &lt; 0, ABS(CC_Delta), 0)</f>
        <v>0</v>
      </c>
      <c r="P105" s="93">
        <f ca="1">NOT(CC_In_Focus) * CC_Show_Type * MIN(CC_Tracked_USD,CC_Budget)</f>
        <v>0</v>
      </c>
      <c r="Q105" s="93">
        <f ca="1">NOT(CC_In_Focus) * CC_Show_Type * CC_Show_Remaining_Budget * IF(CC_Delta &gt; 0, CC_Delta,0)</f>
        <v>0</v>
      </c>
      <c r="R105" s="93">
        <f ca="1">NOT(CC_In_Focus) * CC_Show_Type * IF(CC_Delta &lt; 0, ABS(CC_Delta), 0)</f>
        <v>0</v>
      </c>
    </row>
    <row r="106" spans="4:18" x14ac:dyDescent="0.25">
      <c r="D106" s="121"/>
      <c r="E106" s="92"/>
      <c r="F106" s="92"/>
      <c r="G106" s="92"/>
      <c r="H106" s="92"/>
      <c r="I106" s="92"/>
      <c r="J106" s="96"/>
      <c r="K106" s="96"/>
      <c r="L106" s="96"/>
      <c r="M106" s="92"/>
      <c r="N106" s="92"/>
      <c r="O106" s="92"/>
      <c r="P106" s="92"/>
      <c r="Q106" s="92"/>
      <c r="R106" s="92"/>
    </row>
  </sheetData>
  <mergeCells count="17">
    <mergeCell ref="C1:AA2"/>
    <mergeCell ref="C6:F6"/>
    <mergeCell ref="C21:F21"/>
    <mergeCell ref="M57:O57"/>
    <mergeCell ref="P57:R57"/>
    <mergeCell ref="D59:D62"/>
    <mergeCell ref="D63:D66"/>
    <mergeCell ref="D67:D70"/>
    <mergeCell ref="D71:D74"/>
    <mergeCell ref="D75:D78"/>
    <mergeCell ref="D99:D102"/>
    <mergeCell ref="D103:D106"/>
    <mergeCell ref="D79:D82"/>
    <mergeCell ref="D83:D86"/>
    <mergeCell ref="D87:D90"/>
    <mergeCell ref="D91:D94"/>
    <mergeCell ref="D95:D98"/>
  </mergeCells>
  <phoneticPr fontId="2" type="noConversion"/>
  <pageMargins left="0.7" right="0.7" top="0.75" bottom="0.75" header="0.3" footer="0.3"/>
  <pageSetup scale="2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D820E-9A7C-46EF-B5EA-479031BC64EA}">
  <sheetPr codeName="Sheet7">
    <pageSetUpPr fitToPage="1"/>
  </sheetPr>
  <dimension ref="C1:U61"/>
  <sheetViews>
    <sheetView showGridLines="0" topLeftCell="D1" zoomScale="70" zoomScaleNormal="70" workbookViewId="0">
      <selection activeCell="O13" sqref="O13"/>
    </sheetView>
  </sheetViews>
  <sheetFormatPr defaultRowHeight="15" x14ac:dyDescent="0.25"/>
  <cols>
    <col min="1" max="2" width="2.140625" customWidth="1"/>
    <col min="3" max="3" width="19.140625" bestFit="1" customWidth="1"/>
    <col min="5" max="5" width="21.140625" customWidth="1"/>
    <col min="7" max="7" width="40.5703125" bestFit="1" customWidth="1"/>
    <col min="9" max="9" width="30" bestFit="1" customWidth="1"/>
    <col min="11" max="11" width="31.7109375" bestFit="1" customWidth="1"/>
    <col min="13" max="13" width="43" bestFit="1" customWidth="1"/>
    <col min="15" max="15" width="37.7109375" bestFit="1" customWidth="1"/>
    <col min="17" max="17" width="35.7109375" bestFit="1" customWidth="1"/>
    <col min="19" max="19" width="32.140625" bestFit="1" customWidth="1"/>
    <col min="21" max="21" width="21.140625" bestFit="1" customWidth="1"/>
    <col min="23" max="23" width="22.5703125" bestFit="1" customWidth="1"/>
    <col min="25" max="25" width="43" bestFit="1" customWidth="1"/>
    <col min="27" max="27" width="31.7109375" bestFit="1" customWidth="1"/>
    <col min="29" max="29" width="35" bestFit="1" customWidth="1"/>
    <col min="31" max="31" width="22.85546875" bestFit="1" customWidth="1"/>
    <col min="33" max="33" width="18.7109375" bestFit="1" customWidth="1"/>
    <col min="35" max="35" width="33.140625" bestFit="1" customWidth="1"/>
    <col min="37" max="37" width="14.5703125" bestFit="1" customWidth="1"/>
    <col min="39" max="39" width="19.7109375" bestFit="1" customWidth="1"/>
    <col min="41" max="41" width="25.28515625" bestFit="1" customWidth="1"/>
  </cols>
  <sheetData>
    <row r="1" spans="3:21" s="50" customFormat="1" x14ac:dyDescent="0.25">
      <c r="C1" s="122" t="str" cm="1">
        <f t="array" aca="1" ref="C1" ca="1">MID(CELL("filename", C4), FIND("]", CELL("filename", C4)) + 1, 255)</f>
        <v>Dropdown Data</v>
      </c>
      <c r="D1" s="122"/>
      <c r="E1" s="122"/>
      <c r="F1" s="122"/>
      <c r="G1" s="122"/>
      <c r="H1" s="122"/>
      <c r="I1" s="122"/>
      <c r="J1" s="122"/>
      <c r="K1" s="122"/>
      <c r="L1" s="122"/>
      <c r="M1" s="122"/>
      <c r="N1" s="122"/>
      <c r="O1" s="122"/>
      <c r="P1" s="122"/>
      <c r="Q1" s="122"/>
      <c r="R1" s="122"/>
      <c r="S1" s="122"/>
      <c r="T1" s="122"/>
      <c r="U1" s="122"/>
    </row>
    <row r="2" spans="3:21" s="50" customFormat="1" x14ac:dyDescent="0.25">
      <c r="C2" s="122"/>
      <c r="D2" s="122"/>
      <c r="E2" s="122"/>
      <c r="F2" s="122"/>
      <c r="G2" s="122"/>
      <c r="H2" s="122"/>
      <c r="I2" s="122"/>
      <c r="J2" s="122"/>
      <c r="K2" s="122"/>
      <c r="L2" s="122"/>
      <c r="M2" s="122"/>
      <c r="N2" s="122"/>
      <c r="O2" s="122"/>
      <c r="P2" s="122"/>
      <c r="Q2" s="122"/>
      <c r="R2" s="122"/>
      <c r="S2" s="122"/>
      <c r="T2" s="122"/>
      <c r="U2" s="122"/>
    </row>
    <row r="4" spans="3:21" x14ac:dyDescent="0.25">
      <c r="C4" s="107" t="s">
        <v>192</v>
      </c>
      <c r="E4" s="107" t="s">
        <v>193</v>
      </c>
      <c r="G4" s="87" t="s">
        <v>28</v>
      </c>
      <c r="I4" s="87" t="s">
        <v>194</v>
      </c>
      <c r="K4" s="107" t="s">
        <v>195</v>
      </c>
      <c r="M4" s="87" t="s">
        <v>30</v>
      </c>
      <c r="O4" s="87" t="s">
        <v>196</v>
      </c>
      <c r="Q4" s="87" t="s">
        <v>197</v>
      </c>
      <c r="S4" s="87" t="s">
        <v>42</v>
      </c>
    </row>
    <row r="5" spans="3:21" x14ac:dyDescent="0.25">
      <c r="C5" s="51" t="s">
        <v>121</v>
      </c>
      <c r="E5" s="51" t="s">
        <v>198</v>
      </c>
      <c r="G5" t="s">
        <v>104</v>
      </c>
      <c r="I5" t="s">
        <v>199</v>
      </c>
      <c r="K5" s="51" t="s">
        <v>200</v>
      </c>
      <c r="M5" t="s">
        <v>201</v>
      </c>
      <c r="O5" t="s">
        <v>202</v>
      </c>
      <c r="Q5" t="s">
        <v>203</v>
      </c>
      <c r="S5" t="s">
        <v>204</v>
      </c>
    </row>
    <row r="6" spans="3:21" x14ac:dyDescent="0.25">
      <c r="C6" s="51">
        <f>Starting_Year</f>
        <v>2025</v>
      </c>
      <c r="E6" s="51" t="s">
        <v>124</v>
      </c>
      <c r="G6" t="s">
        <v>205</v>
      </c>
      <c r="I6" t="s">
        <v>206</v>
      </c>
      <c r="K6" s="51" t="s">
        <v>71</v>
      </c>
      <c r="M6" t="s">
        <v>207</v>
      </c>
      <c r="Q6" t="s">
        <v>208</v>
      </c>
      <c r="S6" t="s">
        <v>209</v>
      </c>
    </row>
    <row r="7" spans="3:21" x14ac:dyDescent="0.25">
      <c r="C7" s="51">
        <f>C6+1</f>
        <v>2026</v>
      </c>
      <c r="E7" s="54">
        <v>36526</v>
      </c>
      <c r="G7" t="s">
        <v>210</v>
      </c>
      <c r="I7" t="s">
        <v>211</v>
      </c>
      <c r="K7" s="54" t="s">
        <v>212</v>
      </c>
      <c r="M7" t="s">
        <v>213</v>
      </c>
      <c r="Q7" t="s">
        <v>214</v>
      </c>
      <c r="S7" t="s">
        <v>105</v>
      </c>
    </row>
    <row r="8" spans="3:21" x14ac:dyDescent="0.25">
      <c r="C8" s="51">
        <f t="shared" ref="C8:C15" si="0">C7+1</f>
        <v>2027</v>
      </c>
      <c r="E8" s="54">
        <v>36557</v>
      </c>
      <c r="G8" t="s">
        <v>83</v>
      </c>
      <c r="I8" t="s">
        <v>215</v>
      </c>
      <c r="M8" t="s">
        <v>216</v>
      </c>
      <c r="O8" s="87" t="s">
        <v>217</v>
      </c>
      <c r="Q8" t="s">
        <v>218</v>
      </c>
      <c r="S8" t="s">
        <v>219</v>
      </c>
    </row>
    <row r="9" spans="3:21" x14ac:dyDescent="0.25">
      <c r="C9" s="51">
        <f t="shared" si="0"/>
        <v>2028</v>
      </c>
      <c r="E9" s="54">
        <v>36586</v>
      </c>
      <c r="G9" t="s">
        <v>68</v>
      </c>
      <c r="I9" t="s">
        <v>220</v>
      </c>
      <c r="M9" t="s">
        <v>221</v>
      </c>
      <c r="O9" t="s">
        <v>203</v>
      </c>
      <c r="Q9" t="s">
        <v>354</v>
      </c>
      <c r="S9" t="s">
        <v>222</v>
      </c>
    </row>
    <row r="10" spans="3:21" x14ac:dyDescent="0.25">
      <c r="C10" s="51">
        <f t="shared" si="0"/>
        <v>2029</v>
      </c>
      <c r="E10" s="54">
        <v>36617</v>
      </c>
      <c r="G10" t="s">
        <v>223</v>
      </c>
      <c r="I10" t="s">
        <v>224</v>
      </c>
      <c r="M10" t="s">
        <v>225</v>
      </c>
      <c r="O10" t="s">
        <v>208</v>
      </c>
      <c r="S10" t="s">
        <v>109</v>
      </c>
    </row>
    <row r="11" spans="3:21" x14ac:dyDescent="0.25">
      <c r="C11" s="51">
        <f t="shared" si="0"/>
        <v>2030</v>
      </c>
      <c r="E11" s="54">
        <v>36647</v>
      </c>
      <c r="G11" t="s">
        <v>69</v>
      </c>
      <c r="I11" t="s">
        <v>226</v>
      </c>
      <c r="K11" s="87" t="s">
        <v>227</v>
      </c>
      <c r="M11" t="s">
        <v>228</v>
      </c>
      <c r="O11" t="s">
        <v>214</v>
      </c>
      <c r="S11" t="s">
        <v>230</v>
      </c>
    </row>
    <row r="12" spans="3:21" x14ac:dyDescent="0.25">
      <c r="C12" s="51">
        <f t="shared" si="0"/>
        <v>2031</v>
      </c>
      <c r="E12" s="54">
        <v>36678</v>
      </c>
      <c r="G12" t="s">
        <v>231</v>
      </c>
      <c r="I12" t="s">
        <v>232</v>
      </c>
      <c r="K12" t="s">
        <v>100</v>
      </c>
      <c r="M12" t="s">
        <v>233</v>
      </c>
      <c r="O12" t="s">
        <v>218</v>
      </c>
      <c r="Q12" s="87" t="s">
        <v>229</v>
      </c>
      <c r="S12" t="s">
        <v>235</v>
      </c>
    </row>
    <row r="13" spans="3:21" x14ac:dyDescent="0.25">
      <c r="C13" s="51">
        <f t="shared" si="0"/>
        <v>2032</v>
      </c>
      <c r="E13" s="54">
        <v>36708</v>
      </c>
      <c r="G13" t="s">
        <v>66</v>
      </c>
      <c r="I13" t="s">
        <v>86</v>
      </c>
      <c r="M13" t="s">
        <v>236</v>
      </c>
      <c r="O13" t="s">
        <v>353</v>
      </c>
      <c r="Q13" t="s">
        <v>234</v>
      </c>
      <c r="S13" t="s">
        <v>237</v>
      </c>
    </row>
    <row r="14" spans="3:21" x14ac:dyDescent="0.25">
      <c r="C14" s="51">
        <f t="shared" si="0"/>
        <v>2033</v>
      </c>
      <c r="E14" s="54">
        <v>36739</v>
      </c>
      <c r="G14" t="s">
        <v>238</v>
      </c>
      <c r="I14" t="s">
        <v>239</v>
      </c>
      <c r="M14" t="s">
        <v>240</v>
      </c>
      <c r="Q14" t="s">
        <v>346</v>
      </c>
      <c r="S14" t="s">
        <v>241</v>
      </c>
    </row>
    <row r="15" spans="3:21" x14ac:dyDescent="0.25">
      <c r="C15" s="52">
        <f t="shared" si="0"/>
        <v>2034</v>
      </c>
      <c r="E15" s="54">
        <v>36770</v>
      </c>
      <c r="G15" t="s">
        <v>242</v>
      </c>
      <c r="I15" t="s">
        <v>243</v>
      </c>
      <c r="K15" s="87" t="s">
        <v>38</v>
      </c>
      <c r="M15" t="s">
        <v>244</v>
      </c>
      <c r="S15" t="s">
        <v>342</v>
      </c>
    </row>
    <row r="16" spans="3:21" x14ac:dyDescent="0.25">
      <c r="E16" s="54">
        <v>36800</v>
      </c>
      <c r="G16" t="s">
        <v>245</v>
      </c>
      <c r="I16" t="s">
        <v>246</v>
      </c>
      <c r="K16" t="s">
        <v>247</v>
      </c>
      <c r="M16" t="s">
        <v>248</v>
      </c>
      <c r="O16" s="87" t="s">
        <v>35</v>
      </c>
      <c r="Q16" s="87" t="s">
        <v>48</v>
      </c>
      <c r="S16" t="s">
        <v>348</v>
      </c>
    </row>
    <row r="17" spans="5:19" x14ac:dyDescent="0.25">
      <c r="E17" s="54">
        <v>36831</v>
      </c>
      <c r="G17" t="s">
        <v>251</v>
      </c>
      <c r="I17" t="s">
        <v>252</v>
      </c>
      <c r="K17" t="s">
        <v>340</v>
      </c>
      <c r="M17" t="s">
        <v>253</v>
      </c>
      <c r="O17" t="s">
        <v>249</v>
      </c>
      <c r="Q17" t="s">
        <v>250</v>
      </c>
    </row>
    <row r="18" spans="5:19" x14ac:dyDescent="0.25">
      <c r="E18" s="55">
        <v>36861</v>
      </c>
      <c r="G18" t="s">
        <v>256</v>
      </c>
      <c r="I18" t="s">
        <v>257</v>
      </c>
      <c r="M18" t="s">
        <v>113</v>
      </c>
      <c r="O18" t="s">
        <v>254</v>
      </c>
      <c r="Q18" t="s">
        <v>255</v>
      </c>
    </row>
    <row r="19" spans="5:19" x14ac:dyDescent="0.25">
      <c r="G19" t="s">
        <v>260</v>
      </c>
      <c r="I19" t="s">
        <v>261</v>
      </c>
      <c r="M19" t="s">
        <v>262</v>
      </c>
      <c r="O19" s="53" t="s">
        <v>258</v>
      </c>
      <c r="S19" s="87" t="s">
        <v>44</v>
      </c>
    </row>
    <row r="20" spans="5:19" x14ac:dyDescent="0.25">
      <c r="G20" t="s">
        <v>265</v>
      </c>
      <c r="I20" t="s">
        <v>266</v>
      </c>
      <c r="K20" s="87" t="s">
        <v>34</v>
      </c>
      <c r="M20" t="s">
        <v>268</v>
      </c>
      <c r="O20" s="53" t="s">
        <v>263</v>
      </c>
      <c r="S20" t="s">
        <v>259</v>
      </c>
    </row>
    <row r="21" spans="5:19" x14ac:dyDescent="0.25">
      <c r="G21" t="s">
        <v>84</v>
      </c>
      <c r="I21" t="s">
        <v>271</v>
      </c>
      <c r="K21" t="s">
        <v>267</v>
      </c>
      <c r="M21" t="s">
        <v>273</v>
      </c>
      <c r="O21" s="53" t="s">
        <v>269</v>
      </c>
      <c r="Q21" s="87" t="s">
        <v>46</v>
      </c>
      <c r="S21" t="s">
        <v>264</v>
      </c>
    </row>
    <row r="22" spans="5:19" x14ac:dyDescent="0.25">
      <c r="G22" t="s">
        <v>276</v>
      </c>
      <c r="I22" t="s">
        <v>96</v>
      </c>
      <c r="K22" t="s">
        <v>272</v>
      </c>
      <c r="M22" t="s">
        <v>67</v>
      </c>
      <c r="O22" s="53" t="s">
        <v>274</v>
      </c>
      <c r="Q22" t="s">
        <v>72</v>
      </c>
      <c r="S22" t="s">
        <v>270</v>
      </c>
    </row>
    <row r="23" spans="5:19" x14ac:dyDescent="0.25">
      <c r="G23" t="s">
        <v>278</v>
      </c>
      <c r="I23" t="s">
        <v>279</v>
      </c>
      <c r="K23" t="s">
        <v>277</v>
      </c>
      <c r="M23" t="s">
        <v>90</v>
      </c>
      <c r="O23" s="53"/>
      <c r="S23" t="s">
        <v>275</v>
      </c>
    </row>
    <row r="24" spans="5:19" x14ac:dyDescent="0.25">
      <c r="G24" t="s">
        <v>281</v>
      </c>
      <c r="I24" t="s">
        <v>282</v>
      </c>
      <c r="K24" t="s">
        <v>280</v>
      </c>
      <c r="M24" t="s">
        <v>94</v>
      </c>
    </row>
    <row r="25" spans="5:19" x14ac:dyDescent="0.25">
      <c r="G25" t="s">
        <v>101</v>
      </c>
      <c r="I25" t="s">
        <v>284</v>
      </c>
      <c r="K25" t="s">
        <v>283</v>
      </c>
      <c r="M25" t="s">
        <v>112</v>
      </c>
      <c r="O25" s="87" t="s">
        <v>37</v>
      </c>
      <c r="Q25" s="87" t="s">
        <v>43</v>
      </c>
    </row>
    <row r="26" spans="5:19" x14ac:dyDescent="0.25">
      <c r="G26" t="s">
        <v>287</v>
      </c>
      <c r="I26" t="s">
        <v>288</v>
      </c>
      <c r="K26" t="s">
        <v>285</v>
      </c>
      <c r="M26" t="s">
        <v>341</v>
      </c>
      <c r="O26" t="s">
        <v>286</v>
      </c>
      <c r="Q26" t="s">
        <v>75</v>
      </c>
    </row>
    <row r="27" spans="5:19" x14ac:dyDescent="0.25">
      <c r="G27" t="s">
        <v>291</v>
      </c>
      <c r="I27" t="s">
        <v>292</v>
      </c>
      <c r="K27" t="s">
        <v>289</v>
      </c>
      <c r="M27" t="s">
        <v>351</v>
      </c>
      <c r="O27" t="s">
        <v>290</v>
      </c>
      <c r="Q27" t="s">
        <v>339</v>
      </c>
    </row>
    <row r="28" spans="5:19" x14ac:dyDescent="0.25">
      <c r="G28" t="s">
        <v>294</v>
      </c>
      <c r="I28" t="s">
        <v>295</v>
      </c>
      <c r="K28" t="s">
        <v>79</v>
      </c>
      <c r="O28" t="s">
        <v>293</v>
      </c>
      <c r="Q28" t="s">
        <v>352</v>
      </c>
    </row>
    <row r="29" spans="5:19" x14ac:dyDescent="0.25">
      <c r="G29" t="s">
        <v>297</v>
      </c>
      <c r="I29" t="s">
        <v>298</v>
      </c>
      <c r="O29" t="s">
        <v>94</v>
      </c>
    </row>
    <row r="30" spans="5:19" x14ac:dyDescent="0.25">
      <c r="G30" t="s">
        <v>93</v>
      </c>
      <c r="I30" t="s">
        <v>99</v>
      </c>
      <c r="O30" t="s">
        <v>300</v>
      </c>
      <c r="Q30" s="87" t="s">
        <v>31</v>
      </c>
    </row>
    <row r="31" spans="5:19" x14ac:dyDescent="0.25">
      <c r="G31" t="s">
        <v>302</v>
      </c>
      <c r="I31" t="s">
        <v>303</v>
      </c>
      <c r="K31" s="87" t="s">
        <v>36</v>
      </c>
      <c r="M31" s="87" t="s">
        <v>296</v>
      </c>
      <c r="Q31" t="s">
        <v>107</v>
      </c>
    </row>
    <row r="32" spans="5:19" x14ac:dyDescent="0.25">
      <c r="G32" t="s">
        <v>93</v>
      </c>
      <c r="I32" t="s">
        <v>307</v>
      </c>
      <c r="K32" t="s">
        <v>304</v>
      </c>
      <c r="M32" t="s">
        <v>299</v>
      </c>
      <c r="Q32" t="s">
        <v>301</v>
      </c>
    </row>
    <row r="33" spans="7:17" x14ac:dyDescent="0.25">
      <c r="G33" t="s">
        <v>102</v>
      </c>
      <c r="I33" t="s">
        <v>310</v>
      </c>
      <c r="K33" t="s">
        <v>308</v>
      </c>
      <c r="M33" t="s">
        <v>78</v>
      </c>
      <c r="Q33" t="s">
        <v>306</v>
      </c>
    </row>
    <row r="34" spans="7:17" x14ac:dyDescent="0.25">
      <c r="G34" t="s">
        <v>103</v>
      </c>
      <c r="I34" t="s">
        <v>313</v>
      </c>
      <c r="K34" t="s">
        <v>311</v>
      </c>
      <c r="M34" t="s">
        <v>305</v>
      </c>
      <c r="Q34" t="s">
        <v>309</v>
      </c>
    </row>
    <row r="35" spans="7:17" x14ac:dyDescent="0.25">
      <c r="I35" t="s">
        <v>316</v>
      </c>
      <c r="K35" t="s">
        <v>314</v>
      </c>
      <c r="M35" t="s">
        <v>87</v>
      </c>
      <c r="Q35" t="s">
        <v>312</v>
      </c>
    </row>
    <row r="36" spans="7:17" x14ac:dyDescent="0.25">
      <c r="I36" t="s">
        <v>319</v>
      </c>
      <c r="K36" t="s">
        <v>317</v>
      </c>
      <c r="Q36" t="s">
        <v>315</v>
      </c>
    </row>
    <row r="37" spans="7:17" x14ac:dyDescent="0.25">
      <c r="I37" t="s">
        <v>322</v>
      </c>
      <c r="K37" t="s">
        <v>320</v>
      </c>
      <c r="Q37" t="s">
        <v>318</v>
      </c>
    </row>
    <row r="38" spans="7:17" x14ac:dyDescent="0.25">
      <c r="I38" t="s">
        <v>323</v>
      </c>
      <c r="K38" t="s">
        <v>97</v>
      </c>
      <c r="Q38" t="s">
        <v>321</v>
      </c>
    </row>
    <row r="39" spans="7:17" x14ac:dyDescent="0.25">
      <c r="I39" t="s">
        <v>324</v>
      </c>
    </row>
    <row r="40" spans="7:17" x14ac:dyDescent="0.25">
      <c r="I40" t="s">
        <v>325</v>
      </c>
    </row>
    <row r="41" spans="7:17" x14ac:dyDescent="0.25">
      <c r="I41" t="s">
        <v>326</v>
      </c>
    </row>
    <row r="42" spans="7:17" x14ac:dyDescent="0.25">
      <c r="I42" t="s">
        <v>327</v>
      </c>
    </row>
    <row r="43" spans="7:17" x14ac:dyDescent="0.25">
      <c r="I43" t="s">
        <v>328</v>
      </c>
    </row>
    <row r="44" spans="7:17" x14ac:dyDescent="0.25">
      <c r="I44" t="s">
        <v>329</v>
      </c>
    </row>
    <row r="45" spans="7:17" x14ac:dyDescent="0.25">
      <c r="I45" t="s">
        <v>330</v>
      </c>
    </row>
    <row r="46" spans="7:17" x14ac:dyDescent="0.25">
      <c r="I46" t="s">
        <v>331</v>
      </c>
    </row>
    <row r="47" spans="7:17" x14ac:dyDescent="0.25">
      <c r="I47" t="s">
        <v>332</v>
      </c>
    </row>
    <row r="48" spans="7:17" x14ac:dyDescent="0.25">
      <c r="I48" t="s">
        <v>333</v>
      </c>
    </row>
    <row r="49" spans="9:9" x14ac:dyDescent="0.25">
      <c r="I49" t="s">
        <v>334</v>
      </c>
    </row>
    <row r="50" spans="9:9" x14ac:dyDescent="0.25">
      <c r="I50" t="s">
        <v>335</v>
      </c>
    </row>
    <row r="51" spans="9:9" x14ac:dyDescent="0.25">
      <c r="I51" t="s">
        <v>336</v>
      </c>
    </row>
    <row r="52" spans="9:9" x14ac:dyDescent="0.25">
      <c r="I52" t="s">
        <v>337</v>
      </c>
    </row>
    <row r="53" spans="9:9" x14ac:dyDescent="0.25">
      <c r="I53" t="s">
        <v>338</v>
      </c>
    </row>
    <row r="54" spans="9:9" x14ac:dyDescent="0.25">
      <c r="I54" t="s">
        <v>70</v>
      </c>
    </row>
    <row r="55" spans="9:9" x14ac:dyDescent="0.25">
      <c r="I55" t="s">
        <v>85</v>
      </c>
    </row>
    <row r="56" spans="9:9" x14ac:dyDescent="0.25">
      <c r="I56" t="s">
        <v>89</v>
      </c>
    </row>
    <row r="57" spans="9:9" x14ac:dyDescent="0.25">
      <c r="I57" t="s">
        <v>92</v>
      </c>
    </row>
    <row r="58" spans="9:9" x14ac:dyDescent="0.25">
      <c r="I58" t="s">
        <v>95</v>
      </c>
    </row>
    <row r="59" spans="9:9" x14ac:dyDescent="0.25">
      <c r="I59" t="s">
        <v>108</v>
      </c>
    </row>
    <row r="60" spans="9:9" x14ac:dyDescent="0.25">
      <c r="I60" t="s">
        <v>110</v>
      </c>
    </row>
    <row r="61" spans="9:9" x14ac:dyDescent="0.25">
      <c r="I61" t="s">
        <v>111</v>
      </c>
    </row>
  </sheetData>
  <mergeCells count="1">
    <mergeCell ref="C1:U2"/>
  </mergeCells>
  <phoneticPr fontId="2" type="noConversion"/>
  <pageMargins left="0.7" right="0.7" top="0.75" bottom="0.75" header="0.3" footer="0.3"/>
  <pageSetup scale="11"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E5B3E2A-8596-4284-9C18-29EC15D7C81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49</vt:i4>
      </vt:variant>
    </vt:vector>
  </HeadingPairs>
  <TitlesOfParts>
    <vt:vector size="55" baseType="lpstr">
      <vt:lpstr>Settings</vt:lpstr>
      <vt:lpstr>Budget Planning</vt:lpstr>
      <vt:lpstr>Budget Tracking</vt:lpstr>
      <vt:lpstr>Budget Dashboard</vt:lpstr>
      <vt:lpstr>Calculations</vt:lpstr>
      <vt:lpstr>Dropdown Data</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Calculations!CC_Show_Remaining_Budget</vt:lpstr>
      <vt:lpstr>Calculations!CC_Show_Type</vt:lpstr>
      <vt:lpstr>Calculations!CC_Tracked_USD</vt:lpstr>
      <vt:lpstr>Calculations!CC_Type</vt:lpstr>
      <vt:lpstr>'Budget Dashboard'!Comb_Rank</vt:lpstr>
      <vt:lpstr>'Budget Dashboard'!Comb_Rank_Norm</vt:lpstr>
      <vt:lpstr>'Budget Dashboard'!Comb_Rank_Norm_Run_Range</vt:lpstr>
      <vt:lpstr>'Budget Dashboard'!Comb_Rank_Range</vt:lpstr>
      <vt:lpstr>'Budget Dashboard'!Comb_Rank_Unique</vt:lpstr>
      <vt:lpstr>'Budget Dashboard'!Header_Row_ID</vt:lpstr>
      <vt:lpstr>'Budget Dashboard'!IS_Cat</vt:lpstr>
      <vt:lpstr>'Budget Dashboard'!IS_Empty</vt:lpstr>
      <vt:lpstr>'Budget Dashboard'!IS_Header</vt:lpstr>
      <vt:lpstr>'Budget Dashboard'!IS_Total</vt:lpstr>
      <vt:lpstr>'Budget Dashboard'!Item</vt:lpstr>
      <vt:lpstr>'Budget Dashboard'!Out_Budget</vt:lpstr>
      <vt:lpstr>'Budget Dashboard'!Out_Percentage_Completed</vt:lpstr>
      <vt:lpstr>'Budget Dashboard'!Out_Tracked_€</vt:lpstr>
      <vt:lpstr>'Budget Dashboard'!Out_Tracked_LBP</vt:lpstr>
      <vt:lpstr>'Budget Dashboard'!Out_Tracked_USD</vt:lpstr>
      <vt:lpstr>Payment_Type</vt:lpstr>
      <vt:lpstr>'Budget Planning'!Print_Area</vt:lpstr>
      <vt:lpstr>'Budget Dashboard'!Row_ID</vt:lpstr>
      <vt:lpstr>Savings_Rate_Calculation_Type</vt:lpstr>
      <vt:lpstr>Selected_Period</vt:lpstr>
      <vt:lpstr>Selected_Period_Display</vt:lpstr>
      <vt:lpstr>Selected_Year</vt:lpstr>
      <vt:lpstr>Shift_Late_Income_Starting_Day</vt:lpstr>
      <vt:lpstr>Shift_Late_Income_Status</vt:lpstr>
      <vt:lpstr>'Budget Dashboard'!Sort_Max_Row</vt:lpstr>
      <vt:lpstr>'Budget Dashboard'!Sort_Min_Row</vt:lpstr>
      <vt:lpstr>Starting_Year</vt:lpstr>
      <vt:lpstr>'Budget Dashboard'!Tracked_€</vt:lpstr>
      <vt:lpstr>'Budget Dashboard'!Tracked_€_Range</vt:lpstr>
      <vt:lpstr>'Budget Dashboard'!Tracked_€_Rank</vt:lpstr>
      <vt:lpstr>'Budget Dashboard'!Tracked_LBP</vt:lpstr>
      <vt:lpstr>'Budget Dashboard'!Tracked_LBP_Range</vt:lpstr>
      <vt:lpstr>Tracked_LBP_Rank</vt:lpstr>
      <vt:lpstr>'Budget Dashboard'!Tracked_USD</vt:lpstr>
      <vt:lpstr>'Budget Dashboard'!Tracked_USD_Range</vt:lpstr>
      <vt:lpstr>'Budget Dashboard'!Tracked_USD_Rank</vt:lpstr>
      <vt:lpstr>'Budget Dashboard'!Type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Bernard Dfouni</dc:creator>
  <cp:keywords/>
  <dc:description/>
  <cp:lastModifiedBy>Bernard Dfouni</cp:lastModifiedBy>
  <cp:revision/>
  <dcterms:created xsi:type="dcterms:W3CDTF">2015-06-05T18:17:20Z</dcterms:created>
  <dcterms:modified xsi:type="dcterms:W3CDTF">2026-01-19T11:48:55Z</dcterms:modified>
  <cp:category/>
  <cp:contentStatus/>
</cp:coreProperties>
</file>